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lmonary-system_v1.0_DRAFT" sheetId="1" r:id="rId4"/>
  </sheets>
  <definedNames>
    <definedName hidden="1" localSheetId="0" name="_xlnm._FilterDatabase">'pulmonary-system_v1.0_DRAFT'!$A$12:$CC$214</definedName>
  </definedNames>
  <calcPr/>
  <extLst>
    <ext uri="GoogleSheetsCustomDataVersion2">
      <go:sheetsCustomData xmlns:go="http://customooxmlschemas.google.com/" r:id="rId5" roundtripDataChecksum="S2e3OOgg3a7HJMgFYxxl2o+FxSXG5YdGmxhXPqaLy04="/>
    </ext>
  </extLst>
</workbook>
</file>

<file path=xl/sharedStrings.xml><?xml version="1.0" encoding="utf-8"?>
<sst xmlns="http://schemas.openxmlformats.org/spreadsheetml/2006/main" count="6710" uniqueCount="1616">
  <si>
    <t>Whole Person Physiome Table for Pulmonary System</t>
  </si>
  <si>
    <t>Author Name(s):</t>
  </si>
  <si>
    <t>Minyan Zhu</t>
  </si>
  <si>
    <t>Author ORCID(s):</t>
  </si>
  <si>
    <t>0000-0002-1868-3896</t>
  </si>
  <si>
    <t>Reviewer Name(s):</t>
  </si>
  <si>
    <t>Maria Basil</t>
  </si>
  <si>
    <t>Katalin Susztak</t>
  </si>
  <si>
    <t>Reviewer ORCID(s):</t>
  </si>
  <si>
    <t>0000-0003-4716-1285</t>
  </si>
  <si>
    <t>0000‑0002‑1005‑3726</t>
  </si>
  <si>
    <t>General Publication(s):</t>
  </si>
  <si>
    <t>West’s Respiratory Physiology (11e, 2021)</t>
  </si>
  <si>
    <t>Data DOI:</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</si>
  <si>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</si>
  <si>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</si>
  <si>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</si>
  <si>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</si>
  <si>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t>Provide a very brief description (a few words) of the specific processes that occur during the corresponding function (e.g., a chemical reaction, physical change, feedback loop, etc.) in the Process column. Enter whether the Effector is a cell, tissue, or organ. Provide the anatomical location of the Effector in EffectorLocation along with the associated UBERON ID, if avaialble. Enter the Effector and its UBERON ID in the following columns. See Glossary for detailed instructions on tabulating the Signal, Effect, Behavior, Behavior X, Behavior Y, and X Target columns.</t>
  </si>
  <si>
    <t>Provide a very brief description (a few words) of the specific processes that occur during the corresponding function (e.g., a chemical reaction, physical change, feedback loop, etc.).</t>
  </si>
  <si>
    <t>Indicate the signal scale category for this process: autocrine, paracrine, intra-organ, circulatory, systemic</t>
  </si>
  <si>
    <t>Indicate the time scale category for this process: milliseconds, seconds, minutes, hours, days, weeks, years.</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</si>
  <si>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</si>
  <si>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</si>
  <si>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</si>
  <si>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</si>
  <si>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</si>
  <si>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</si>
  <si>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</si>
  <si>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</si>
  <si>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</si>
  <si>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</si>
  <si>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</si>
  <si>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</si>
  <si>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</si>
  <si>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</si>
  <si>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</si>
  <si>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</si>
  <si>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</si>
  <si>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</si>
  <si>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</si>
  <si>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</si>
  <si>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</si>
  <si>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</si>
  <si>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</si>
  <si>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</si>
  <si>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</si>
  <si>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</si>
  <si>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</si>
  <si>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</si>
  <si>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</si>
  <si>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</si>
  <si>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</si>
  <si>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</si>
  <si>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</si>
  <si>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</si>
  <si>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</si>
  <si>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</si>
  <si>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</si>
  <si>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</si>
  <si>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</si>
  <si>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</si>
  <si>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</si>
  <si>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EffectParameters (quantitative values)</t>
  </si>
  <si>
    <t>Process triple</t>
  </si>
  <si>
    <t>Function</t>
  </si>
  <si>
    <t>SignalScale</t>
  </si>
  <si>
    <t>EffectScale</t>
  </si>
  <si>
    <t>TimeScale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</si>
  <si>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</si>
  <si>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</si>
  <si>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</si>
  <si>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</si>
  <si>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</si>
  <si>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</si>
  <si>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</si>
  <si>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</si>
  <si>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</si>
  <si>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</si>
  <si>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</si>
  <si>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</si>
  <si>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</si>
  <si>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</si>
  <si>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</si>
  <si>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</si>
  <si>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</si>
  <si>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</si>
  <si>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</si>
  <si>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</si>
  <si>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</si>
  <si>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</si>
  <si>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</si>
  <si>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</si>
  <si>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REF/1</t>
  </si>
  <si>
    <t>REF/1/ID</t>
  </si>
  <si>
    <t>REF/1/CHAPTER</t>
  </si>
  <si>
    <t>REF/1/NOTES</t>
  </si>
  <si>
    <t>REF/2</t>
  </si>
  <si>
    <t>REF/2/ID</t>
  </si>
  <si>
    <t>REF/2/CHAPTER</t>
  </si>
  <si>
    <t>REF/2/NOTES</t>
  </si>
  <si>
    <t>REF/3</t>
  </si>
  <si>
    <t>REF/3/ID</t>
  </si>
  <si>
    <t>REF/3/CHAPTER</t>
  </si>
  <si>
    <t>REF/3/NOTES</t>
  </si>
  <si>
    <t>respiratory system process</t>
  </si>
  <si>
    <t>GO:0003020</t>
  </si>
  <si>
    <t>Ventilation</t>
  </si>
  <si>
    <t>respiratory gaseous exchange by respiratory system</t>
  </si>
  <si>
    <t>GO:0007589</t>
  </si>
  <si>
    <t>Airway patency</t>
  </si>
  <si>
    <t>Alveolar ventilation equation</t>
  </si>
  <si>
    <t>alveolar lamellar body</t>
  </si>
  <si>
    <t>GO:0097208</t>
  </si>
  <si>
    <t>Relationship between ventilation and CO₂:  PACO₂ ∝ V̇CO₂ / V̇A</t>
  </si>
  <si>
    <t>Organ</t>
  </si>
  <si>
    <t>Lung</t>
  </si>
  <si>
    <t>lung</t>
  </si>
  <si>
    <t>UBERON:0002048</t>
  </si>
  <si>
    <t>Alveoli, capillaries</t>
  </si>
  <si>
    <t>alveolus of lung</t>
  </si>
  <si>
    <t>UBERON:0002299</t>
  </si>
  <si>
    <t>does</t>
  </si>
  <si>
    <t>X proportion to Y</t>
  </si>
  <si>
    <t>alveolar CO2 production</t>
  </si>
  <si>
    <t>Alveolar CO₂ pressure</t>
  </si>
  <si>
    <t>mmHg</t>
  </si>
  <si>
    <t>Relationship between ventilation and CO₂</t>
  </si>
  <si>
    <t xml:space="preserve"> PACO₂ ∝ V̇CO₂ / V̇A</t>
  </si>
  <si>
    <t>Intra-organ</t>
  </si>
  <si>
    <t>Seconds–minutes</t>
  </si>
  <si>
    <t>Partial Pressure of Carbon Dioxide</t>
  </si>
  <si>
    <t>Oxygen</t>
  </si>
  <si>
    <t>Oxygen saturation in Blood</t>
  </si>
  <si>
    <t>20564-1</t>
  </si>
  <si>
    <t>CO₂ production rate vs ventilation</t>
  </si>
  <si>
    <t>West’s Respiratory Physiology</t>
  </si>
  <si>
    <t>978-1-9751-3918-10</t>
  </si>
  <si>
    <t>alveolar ventilation</t>
  </si>
  <si>
    <t>Relationship between ventilation and CO₂:  Arterial PCO₂ ≈ alveolar PCO₂</t>
  </si>
  <si>
    <t>X equivalence to Y</t>
  </si>
  <si>
    <t>arterial CO2</t>
  </si>
  <si>
    <t xml:space="preserve">alveolar CO₂ pressure </t>
  </si>
  <si>
    <t xml:space="preserve"> Arterial PCO₂ ≈ alveolar PCO₂</t>
  </si>
  <si>
    <t>GO:0003021</t>
  </si>
  <si>
    <t>GO:0007590</t>
  </si>
  <si>
    <t>Dead space ventilation</t>
  </si>
  <si>
    <t>Partitioning of anatomic and physiologic dead space:  Anatomic VD = conducting airways (~150 ml)</t>
  </si>
  <si>
    <t>anatomic dead space</t>
  </si>
  <si>
    <t xml:space="preserve"> Volume of airways </t>
  </si>
  <si>
    <t>mL</t>
  </si>
  <si>
    <t>Partitioning of anatomic and physiologic dead space</t>
  </si>
  <si>
    <t xml:space="preserve"> Anatomic VD = conducting airways (~150 ml)</t>
  </si>
  <si>
    <t>Dead Space to Tidal Volume Ratio</t>
  </si>
  <si>
    <t>Fowler (N₂) vs Bohr (CO₂) methods</t>
  </si>
  <si>
    <t>978-1-9751-3918-11</t>
  </si>
  <si>
    <t>Partitioning of anatomic and physiologic dead space:  Bohr method for estimation of anatomic VD: based on arterial vs expired CO₂ difference</t>
  </si>
  <si>
    <t>pulmonary alveolar, Alveoli</t>
  </si>
  <si>
    <t>pulmonary arteriole</t>
  </si>
  <si>
    <t>UBERON:8600077</t>
  </si>
  <si>
    <t>X measurement of Y</t>
  </si>
  <si>
    <t>terial vs expired CO₂ difference</t>
  </si>
  <si>
    <t>anatomic VD</t>
  </si>
  <si>
    <t xml:space="preserve"> Bohr method for estimation of anatomic VD: based on arterial vs expired CO₂ difference</t>
  </si>
  <si>
    <t>GO:0003022</t>
  </si>
  <si>
    <t>GO:0007591</t>
  </si>
  <si>
    <t>Regional ventilation distribution</t>
  </si>
  <si>
    <t>Ventilation variation with gravity:  Supine: posterior &gt; anterior</t>
  </si>
  <si>
    <t>X preference to Y</t>
  </si>
  <si>
    <t xml:space="preserve">posterior ventilation </t>
  </si>
  <si>
    <t>anterior ventilation</t>
  </si>
  <si>
    <t>Ventilation variation with gravity</t>
  </si>
  <si>
    <t xml:space="preserve"> Supine: posterior &gt; anterior</t>
  </si>
  <si>
    <t>Xenon scan</t>
  </si>
  <si>
    <t>imaging ventilation</t>
  </si>
  <si>
    <t>Gravity</t>
  </si>
  <si>
    <t xml:space="preserve"> compliance gradient</t>
  </si>
  <si>
    <t>978-1-9751-3918-12</t>
  </si>
  <si>
    <t>Ventilation variation with gravity:  Lateral: dependent lung best ventilated</t>
  </si>
  <si>
    <t>Alveoli</t>
  </si>
  <si>
    <t>X ventilation</t>
  </si>
  <si>
    <t>dependent region ventilation</t>
  </si>
  <si>
    <t>L·min⁻¹</t>
  </si>
  <si>
    <t xml:space="preserve"> Lateral: dependent lung best ventilated</t>
  </si>
  <si>
    <t>GO:0003023</t>
  </si>
  <si>
    <t>Diffusion</t>
  </si>
  <si>
    <t>lung field specification</t>
  </si>
  <si>
    <t>GO:0060424</t>
  </si>
  <si>
    <t>Alveolar–capillary gas transfer</t>
  </si>
  <si>
    <t>gas transport</t>
  </si>
  <si>
    <t>GO:0015669</t>
  </si>
  <si>
    <t>Define diffusion determinants</t>
  </si>
  <si>
    <t>receptor diffusion trapping</t>
  </si>
  <si>
    <t>GO:0098953</t>
  </si>
  <si>
    <t>Fick’s law across blood-gas barrier:  Flux ∝ Area (A) × ΔP</t>
  </si>
  <si>
    <t>Tissue</t>
  </si>
  <si>
    <t xml:space="preserve">Gas diffusion rate </t>
  </si>
  <si>
    <t>surface area and pressure gradient.</t>
  </si>
  <si>
    <t>mL·min⁻¹</t>
  </si>
  <si>
    <t>Fick’s law across blood-gas barrier</t>
  </si>
  <si>
    <t xml:space="preserve"> Flux ∝ Area (A) × ΔP</t>
  </si>
  <si>
    <t>Segmental (intra-organ)</t>
  </si>
  <si>
    <t>Milliseconds–seconds</t>
  </si>
  <si>
    <t>None specific (principle)</t>
  </si>
  <si>
    <t>CO₂ diffuses ≈20× faster than O₂ (higher solubility)</t>
  </si>
  <si>
    <t>978-1-9751-3918-13</t>
  </si>
  <si>
    <t>Fick’s law across blood-gas barrier:  Flux ∝ Diffusion constant (D: solubility/√MW)</t>
  </si>
  <si>
    <t>X depends on Y</t>
  </si>
  <si>
    <t>gas diffusion</t>
  </si>
  <si>
    <t>solubility and molecular weight of the gas</t>
  </si>
  <si>
    <t>mL·min⁻¹·mmHg⁻¹</t>
  </si>
  <si>
    <t xml:space="preserve"> Flux ∝ Diffusion constant (D: solubility/√MW)</t>
  </si>
  <si>
    <t>Fick’s law across blood-gas barrier:  Flux ∝ 1/Thickness (T)</t>
  </si>
  <si>
    <t>X as Y</t>
  </si>
  <si>
    <t>Diffusion rate decrease</t>
  </si>
  <si>
    <t>membrane thickness increase</t>
  </si>
  <si>
    <t xml:space="preserve"> Flux ∝ 1/Thickness (T)</t>
  </si>
  <si>
    <t>GO:0003024</t>
  </si>
  <si>
    <t>Classify transfer limitation</t>
  </si>
  <si>
    <t>Diffusion- vs perfusion-limited gases:  CO: avid Hb binding → no back-pressure → diffusion-limited</t>
  </si>
  <si>
    <t>Pulmonary capillary</t>
  </si>
  <si>
    <t>pulmonary capillary</t>
  </si>
  <si>
    <t>UBERON:0016405</t>
  </si>
  <si>
    <t>X diffusion</t>
  </si>
  <si>
    <t>CO diffusion</t>
  </si>
  <si>
    <t>Diffusion- vs perfusion-limited gases</t>
  </si>
  <si>
    <t xml:space="preserve"> CO: avid Hb binding → no back-pressure → diffusion-limited</t>
  </si>
  <si>
    <t>Seconds</t>
  </si>
  <si>
    <t>End-capillary vs alveolar partial pressures</t>
  </si>
  <si>
    <t>Back-pressure determined by Hb binding</t>
  </si>
  <si>
    <t>978-1-9751-3918-14</t>
  </si>
  <si>
    <t>Diffusion- vs perfusion-limited gases:  N₂O: no Hb binding → rapid equilibration → perfusion-limited</t>
  </si>
  <si>
    <t>X perfusion</t>
  </si>
  <si>
    <t>N2O perfusion</t>
  </si>
  <si>
    <t xml:space="preserve"> N₂O: no Hb binding → rapid equilibration → perfusion-limited</t>
  </si>
  <si>
    <t>Diffusion- vs perfusion-limited gases:  O₂: usually perfusion-limited, can become partly diffusion-limited</t>
  </si>
  <si>
    <t>O2 perfusion</t>
  </si>
  <si>
    <t xml:space="preserve"> O₂: usually perfusion-limited, can become partly diffusion-limited</t>
  </si>
  <si>
    <t>GO:0003025</t>
  </si>
  <si>
    <t>O₂ uptake along capillary (normal)</t>
  </si>
  <si>
    <t>import across plasma membrane</t>
  </si>
  <si>
    <t>GO:0098739</t>
  </si>
  <si>
    <t>Rapid equilibration with reserve:  Mixed-venous PO₂ ≈40 → Alveolar PO₂ ≈100 mmHg</t>
  </si>
  <si>
    <t>Alveolus–capillary</t>
  </si>
  <si>
    <t>X equilibrium</t>
  </si>
  <si>
    <t>oxygen</t>
  </si>
  <si>
    <t>Rapid equilibration with reserve</t>
  </si>
  <si>
    <t xml:space="preserve"> Mixed-venous PO₂ ≈40 → Alveolar PO₂ ≈100 mmHg</t>
  </si>
  <si>
    <t>A–a O₂gradient</t>
  </si>
  <si>
    <t>Reserve capacity buffers exercise/altitude</t>
  </si>
  <si>
    <t>978-1-9751-3918-15</t>
  </si>
  <si>
    <t>Rapid equilibration with reserve:  Equilibration by ~0.25 s (≈1/3 transit)</t>
  </si>
  <si>
    <t>O2</t>
  </si>
  <si>
    <t xml:space="preserve"> Equilibration by ~0.25 s (≈1/3 transit)</t>
  </si>
  <si>
    <t>Rapid equilibration with reserve:  End-capillary – alveolar PO₂ gradient ≈0</t>
  </si>
  <si>
    <t>end-capillary oxygen</t>
  </si>
  <si>
    <t>%</t>
  </si>
  <si>
    <t xml:space="preserve"> End-capillary – alveolar PO₂ gradient ≈0</t>
  </si>
  <si>
    <t>GO:0003026</t>
  </si>
  <si>
    <t>O₂ uptake under stress</t>
  </si>
  <si>
    <t>Exercise, hypoxia, thickened barrier:  Exercise: transit time ↓ to ~0.25 s</t>
  </si>
  <si>
    <t>Organ system</t>
  </si>
  <si>
    <t>Lung, circulatory</t>
  </si>
  <si>
    <t>exercise</t>
  </si>
  <si>
    <t>X reduction</t>
  </si>
  <si>
    <t>capillary transit time</t>
  </si>
  <si>
    <t>s</t>
  </si>
  <si>
    <t>Exercise, hypoxia, thickened barrier</t>
  </si>
  <si>
    <t xml:space="preserve"> Exercise: transit time ↓ to ~0.25 s</t>
  </si>
  <si>
    <t>Systemic</t>
  </si>
  <si>
    <t>Sytemic</t>
  </si>
  <si>
    <t>Arterial Oxygen Pressure</t>
  </si>
  <si>
    <t>_P and time jointly govern equilibration</t>
  </si>
  <si>
    <t>978-1-9751-3918-16</t>
  </si>
  <si>
    <t>Exercise, hypoxia, thickened barrier:  Alveolar hypoxia: ΔP (A–v) ↓ to ~30 mmHg</t>
  </si>
  <si>
    <t>X reduction of Y</t>
  </si>
  <si>
    <t>alveolar oxygen</t>
  </si>
  <si>
    <t>diffusion gradient</t>
  </si>
  <si>
    <t xml:space="preserve"> Alveolar hypoxia: ΔP (A–v) ↓ to ~30 mmHg</t>
  </si>
  <si>
    <t>Exercise, hypoxia, thickened barrier:  Thickened barrier: diffusion rate ↓</t>
  </si>
  <si>
    <t>X regulation of Y</t>
  </si>
  <si>
    <t>membrane thickness</t>
  </si>
  <si>
    <t>diffusion capacity</t>
  </si>
  <si>
    <t>µm</t>
  </si>
  <si>
    <t xml:space="preserve"> Thickened barrier: diffusion rate ↓</t>
  </si>
  <si>
    <t>GO:0003027</t>
  </si>
  <si>
    <t>Measure diffusing capacity</t>
  </si>
  <si>
    <t>DLCO by single-breath CO:  DLCO = V̇CO / PACO (CO back-pressure ≈0)</t>
  </si>
  <si>
    <t xml:space="preserve">Lung diffusing capacity for carbon monoxide (DLCO) </t>
  </si>
  <si>
    <t>the rate of CO transfer divided by alveolar CO partial pressure</t>
  </si>
  <si>
    <t>DLCO by single-breath CO</t>
  </si>
  <si>
    <t xml:space="preserve"> DLCO = V̇CO / PACO (CO back-pressure ≈0)</t>
  </si>
  <si>
    <t>Diffusing Capacity of the Lung for Carbon Monoxide</t>
  </si>
  <si>
    <t>He for VA</t>
  </si>
  <si>
    <t xml:space="preserve"> workload increases Vc</t>
  </si>
  <si>
    <t>978-1-9751-3918-17</t>
  </si>
  <si>
    <t>GO:0003028</t>
  </si>
  <si>
    <t>Partition diffusion resistance</t>
  </si>
  <si>
    <t>DM–θ·Vc model of DL:  1/DL = 1/DM + 1/(θ·Vc)</t>
  </si>
  <si>
    <t xml:space="preserve">The total resistance to gas transfer </t>
  </si>
  <si>
    <t>the sum of membrane resistance and blood resistance</t>
  </si>
  <si>
    <t>mmHg·min·mL⁻¹</t>
  </si>
  <si>
    <t>DM–θ·Vc model of DL</t>
  </si>
  <si>
    <t xml:space="preserve"> 1/DL = 1/DM + 1/(θ·Vc)</t>
  </si>
  <si>
    <t>Diffusing Capacity of the Lung for Carbon Monoxide corrections for Hb</t>
  </si>
  <si>
    <t>Alveolar Volume</t>
  </si>
  <si>
    <t>Diffusion capacity/Alveolar volume</t>
  </si>
  <si>
    <t>19916-6</t>
  </si>
  <si>
    <t>O₂ breathing lowers θCO (competition)</t>
  </si>
  <si>
    <t>978-1-9751-3918-18</t>
  </si>
  <si>
    <t>DM–θ·Vc model of DL: Diffusion Membrane conductance depends on surface area (A) and thickness (T)</t>
  </si>
  <si>
    <t>surface area</t>
  </si>
  <si>
    <t>increases</t>
  </si>
  <si>
    <t>X diffusion across Y</t>
  </si>
  <si>
    <t>gas</t>
  </si>
  <si>
    <t>alveolar-capillary membrane</t>
  </si>
  <si>
    <t>Diffusion Membrane conductance depends on surface area (A) and thickness (T)</t>
  </si>
  <si>
    <t>intra-organ</t>
  </si>
  <si>
    <t>DM–θ·Vc model of DL:  θ·Vc: blood phase (reaction rate × capillary blood volume)</t>
  </si>
  <si>
    <t>X calculation of Y</t>
  </si>
  <si>
    <t xml:space="preserve">diffusing capacity for carbon monoxide (DLCO) </t>
  </si>
  <si>
    <t>rate of CO transfer (V̇CO) divided by the alveolar partial pressure of CO (PACO)</t>
  </si>
  <si>
    <t xml:space="preserve"> θ·Vc: blood phase (reaction rate × capillary blood volume)</t>
  </si>
  <si>
    <t>GO:0003029</t>
  </si>
  <si>
    <t>Interpret DLCO clinically</t>
  </si>
  <si>
    <t>Adjust for Hb and VA; identify cause:  Correct for Hb concentration</t>
  </si>
  <si>
    <t>X adjustion</t>
  </si>
  <si>
    <t>hemoglobin</t>
  </si>
  <si>
    <t>Adjust for Hb and VA; identify cause</t>
  </si>
  <si>
    <t>Correct for Hb concentration</t>
  </si>
  <si>
    <t>Circulatory</t>
  </si>
  <si>
    <t>Minutes</t>
  </si>
  <si>
    <t>“Transfer factor” concept (UK/EU)</t>
  </si>
  <si>
    <t>978-1-9751-3918-19</t>
  </si>
  <si>
    <t>Adjust for Hb and VA; identify cause: KCO = DLCO ÷ VA</t>
  </si>
  <si>
    <t xml:space="preserve">Transfer coefficient </t>
  </si>
  <si>
    <t xml:space="preserve"> DLCO normalization for alveolar volume</t>
  </si>
  <si>
    <t>mL·min⁻¹·mmHg⁻¹·L⁻¹</t>
  </si>
  <si>
    <t>KCO = DLCO ÷ VA</t>
  </si>
  <si>
    <t>GO:0003030</t>
  </si>
  <si>
    <t>CO₂ diffusion</t>
  </si>
  <si>
    <t>High solubility, complex blood chemistry:  DCO₂ &gt;&gt; DO₂ (solubility-driven)</t>
  </si>
  <si>
    <t>X dominance to Y</t>
  </si>
  <si>
    <t>O₂ diffusion</t>
  </si>
  <si>
    <t>High solubility, complex blood chemistry</t>
  </si>
  <si>
    <t xml:space="preserve"> DCO₂ &gt;&gt; DO₂ (solubility-driven)</t>
  </si>
  <si>
    <t>Arterial Partial Pressure of Carbon Dioxide</t>
  </si>
  <si>
    <t>End-Tidal Carbon Dioxide</t>
  </si>
  <si>
    <t>Chemistry modulates apparent resistance</t>
  </si>
  <si>
    <t>978-1-9751-3918-20</t>
  </si>
  <si>
    <t>High solubility, complex blood chemistry:  Blood reactions buffer CO₂</t>
  </si>
  <si>
    <t>X transport to Y</t>
  </si>
  <si>
    <t>CO₂ buffering</t>
  </si>
  <si>
    <t xml:space="preserve">CO₂ </t>
  </si>
  <si>
    <t>mL·dL⁻¹</t>
  </si>
  <si>
    <t xml:space="preserve"> Blood reactions buffer CO₂</t>
  </si>
  <si>
    <t>High solubility, complex blood chemistry:  Diffusion limitation uncommon</t>
  </si>
  <si>
    <t>decreases</t>
  </si>
  <si>
    <t>diffusion limitation</t>
  </si>
  <si>
    <t xml:space="preserve"> Diffusion limitation uncommon</t>
  </si>
  <si>
    <t>GO:0003031</t>
  </si>
  <si>
    <t>Blood Flow and Metabolism</t>
  </si>
  <si>
    <t>detection of renal blood flow</t>
  </si>
  <si>
    <t>GO:0002000</t>
  </si>
  <si>
    <t>Pulmonary perfusion</t>
  </si>
  <si>
    <t>pulmonary artery morphogenesis</t>
  </si>
  <si>
    <t>GO:0061156</t>
  </si>
  <si>
    <t>Low-pressure pulmonary circuit</t>
  </si>
  <si>
    <t>regulation of lung blood pressure</t>
  </si>
  <si>
    <t>GO:0014916</t>
  </si>
  <si>
    <t>Compare pulmonary vs systemic pressures:  Pulmonary artery ≈25/8 mmHg, mean ≈15</t>
  </si>
  <si>
    <t>X description</t>
  </si>
  <si>
    <t>pulmonary pressure</t>
  </si>
  <si>
    <t>Compare pulmonary vs systemic pressures</t>
  </si>
  <si>
    <t xml:space="preserve"> Pulmonary artery ≈25/8 mmHg, mean ≈15</t>
  </si>
  <si>
    <t>Pulmonary Artery Pressure</t>
  </si>
  <si>
    <t>Pulmonary artery Pressure by US.doppler</t>
  </si>
  <si>
    <t>104164-9</t>
  </si>
  <si>
    <t>Pulmonary Capillary Wedge Pressure</t>
  </si>
  <si>
    <t>Hydrostatic modifiers with posture</t>
  </si>
  <si>
    <t>978-1-9751-3918-21</t>
  </si>
  <si>
    <t>Compare pulmonary vs systemic pressures:  LA ≈5 → ΔP ≈10 mmHg</t>
  </si>
  <si>
    <t>X gradient</t>
  </si>
  <si>
    <t>pressure gradient</t>
  </si>
  <si>
    <t xml:space="preserve"> LA ≈5 → ΔP ≈10 mmHg</t>
  </si>
  <si>
    <t>Compare pulmonary vs systemic pressures:  Systemic mean ≈100 → ΔP ≈98 mmHg</t>
  </si>
  <si>
    <t>systemic pressure gradient</t>
  </si>
  <si>
    <t xml:space="preserve"> Systemic mean ≈100 → ΔP ≈98 mmHg</t>
  </si>
  <si>
    <t>GO:0003032</t>
  </si>
  <si>
    <t>Pressures around vessels</t>
  </si>
  <si>
    <t>branching involved in lymph vessel morphogenesis</t>
  </si>
  <si>
    <t>GO:0060854</t>
  </si>
  <si>
    <t>Alveolar vs extra-alveolar vessels:  Alveolar vessels exposed to Palv, compress if Palv↑</t>
  </si>
  <si>
    <t>alveolar pressure (Palv)</t>
  </si>
  <si>
    <t>X process</t>
  </si>
  <si>
    <t>alveolar vessel</t>
  </si>
  <si>
    <t>Alveolar vs extra-alveolar vessels</t>
  </si>
  <si>
    <t xml:space="preserve"> Alveolar vessels exposed to Palv, compress if Palv↑</t>
  </si>
  <si>
    <t>Breath-to-breath</t>
  </si>
  <si>
    <t>Response during inspiration/PPV</t>
  </si>
  <si>
    <t>Palv vs pleural pressure mechanics</t>
  </si>
  <si>
    <t>978-1-9751-3918-22</t>
  </si>
  <si>
    <t>Alveolar vs extra-alveolar vessels:  Extra-alveolar pulled open by radial traction</t>
  </si>
  <si>
    <t>radial traction</t>
  </si>
  <si>
    <t>extra-alveolar vessel caliber</t>
  </si>
  <si>
    <t>mm</t>
  </si>
  <si>
    <t xml:space="preserve"> Extra-alveolar pulled open by radial traction</t>
  </si>
  <si>
    <t>Alveolar vs extra-alveolar vessels:  Transmural pressure drives caliber</t>
  </si>
  <si>
    <t>X across Y</t>
  </si>
  <si>
    <t xml:space="preserve">pressure difference across the vessel wall </t>
  </si>
  <si>
    <t>vessel diameter</t>
  </si>
  <si>
    <t xml:space="preserve"> Transmural pressure drives caliber</t>
  </si>
  <si>
    <t>GO:0003033</t>
  </si>
  <si>
    <t>Define &amp; compute PVR</t>
  </si>
  <si>
    <t>Pulmonary vascular resistance:  PVR = (Ppa − Pla)/Q̇</t>
  </si>
  <si>
    <t>lung vasculature</t>
  </si>
  <si>
    <t>UBERON:0000102</t>
  </si>
  <si>
    <t>pulmonary vascular resistance</t>
  </si>
  <si>
    <t>mean pulmonary artery pressure minus mean left atrial pressure</t>
  </si>
  <si>
    <t>Pulmonary vascular resistance</t>
  </si>
  <si>
    <t xml:space="preserve"> PVR = (Ppa − Pla)/Q̇</t>
  </si>
  <si>
    <t>Cardiac Output</t>
  </si>
  <si>
    <t>Cardiac output alteration [CCC]</t>
  </si>
  <si>
    <t>28149-3</t>
  </si>
  <si>
    <t>Pulmonary Vascular Resistance</t>
  </si>
  <si>
    <t>Pulmonary vascular Resistance</t>
  </si>
  <si>
    <t>8828-6</t>
  </si>
  <si>
    <t>Electrical analogy (ΔP/Flow)</t>
  </si>
  <si>
    <t>978-1-9751-3918-23</t>
  </si>
  <si>
    <t>Pulmonary vascular resistance:  Normal Q̇≈6 L·min⁻¹ → PVR≈1.7 mmHg·L⁻¹·min</t>
  </si>
  <si>
    <t>X reference</t>
  </si>
  <si>
    <t>pulmonary resistance</t>
  </si>
  <si>
    <t xml:space="preserve"> Normal Q̇≈6 L·min⁻¹ → PVR≈1.7 mmHg·L⁻¹·min</t>
  </si>
  <si>
    <t>Pulmonary vascular resistance:  Depends on flow &amp; vessel state</t>
  </si>
  <si>
    <t>X dependence</t>
  </si>
  <si>
    <t>vessel resistance</t>
  </si>
  <si>
    <t>mmHg·min·L⁻¹</t>
  </si>
  <si>
    <t xml:space="preserve"> Depends on flow &amp; vessel state</t>
  </si>
  <si>
    <t>GO:0003034</t>
  </si>
  <si>
    <t>Recruitment &amp; distension</t>
  </si>
  <si>
    <t>phagosome-lysosome docking</t>
  </si>
  <si>
    <t>GO:0090384</t>
  </si>
  <si>
    <t>Why PVR falls as pressure rises:  Low pressures: open silent channels (recruitment)</t>
  </si>
  <si>
    <t>vascular resistance</t>
  </si>
  <si>
    <t>Why PVR falls as pressure rises</t>
  </si>
  <si>
    <t xml:space="preserve"> Low pressures: open silent channels (recruitment)</t>
  </si>
  <si>
    <t>Basis for exercise PVR fall</t>
  </si>
  <si>
    <t>978-1-9751-3918-24</t>
  </si>
  <si>
    <t>Why PVR falls as pressure rises:  Higher: capillary distension (flattened→round)</t>
  </si>
  <si>
    <t xml:space="preserve"> Higher: capillary distension (flattened→round)</t>
  </si>
  <si>
    <t>Why PVR falls as pressure rises:  Both reduce network resistance</t>
  </si>
  <si>
    <t>network resistance</t>
  </si>
  <si>
    <t xml:space="preserve"> Both reduce network resistance</t>
  </si>
  <si>
    <t>GO:0003035</t>
  </si>
  <si>
    <t>Lung volume–PVR U curve</t>
  </si>
  <si>
    <t>Volume dependence of resistance:  Low LV: extra-alveolar narrow → R↑</t>
  </si>
  <si>
    <t>Extra-alveolar vs alveolar segments, Capillary</t>
  </si>
  <si>
    <t>lung parenchyma</t>
  </si>
  <si>
    <t>UBERON:0008946</t>
  </si>
  <si>
    <t>extra-alveolar resistance</t>
  </si>
  <si>
    <t>Volume dependence of resistance</t>
  </si>
  <si>
    <t xml:space="preserve"> Low LV: extra-alveolar narrow → R↑</t>
  </si>
  <si>
    <t>Radial traction vs Palv effects</t>
  </si>
  <si>
    <t>978-1-9751-3918-25</t>
  </si>
  <si>
    <t>Volume dependence of resistance:  High LV: capillaries stretched → caliber↓ → R↑</t>
  </si>
  <si>
    <t>capillary resistance</t>
  </si>
  <si>
    <t xml:space="preserve"> High LV: capillaries stretched → caliber↓ → R↑</t>
  </si>
  <si>
    <t>Volume dependence of resistance:  Minimum near FRC</t>
  </si>
  <si>
    <t xml:space="preserve"> Minimum near FRC</t>
  </si>
  <si>
    <t>GO:0003036</t>
  </si>
  <si>
    <t>Measure total pulmonary blood flow</t>
  </si>
  <si>
    <t>pulmonary blood vessel remodeling</t>
  </si>
  <si>
    <t>GO:0101010</t>
  </si>
  <si>
    <t>Fick principle for Q̇:  V̇O₂ = Q̇ × (CaO₂ − Cv̄O₂)</t>
  </si>
  <si>
    <t>oxygen uptake</t>
  </si>
  <si>
    <t>cardiac output × arteriovenous O₂ difference</t>
  </si>
  <si>
    <t>Fick principle for Q̇</t>
  </si>
  <si>
    <t xml:space="preserve"> V̇O₂ = Q̇ × (CaO₂ − Cv̄O₂)</t>
  </si>
  <si>
    <t>Oxygen Consumption Rate</t>
  </si>
  <si>
    <t>Arterial Oxygen Content</t>
  </si>
  <si>
    <t>Cardiopulmonary coupling</t>
  </si>
  <si>
    <t>978-1-9751-3918-26</t>
  </si>
  <si>
    <t>Fick principle for Q̇:  Q̇ = V̇O₂ /(CaO₂ − Cv̄O₂)</t>
  </si>
  <si>
    <t>cardiac output</t>
  </si>
  <si>
    <t>oxygen uptake / arteriovenous O₂ difference</t>
  </si>
  <si>
    <t xml:space="preserve"> Q̇ = V̇O₂ /(CaO₂ − Cv̄O₂)</t>
  </si>
  <si>
    <t>Fick principle for Q̇:  Also dye/thermal dilution</t>
  </si>
  <si>
    <t>X measurement</t>
  </si>
  <si>
    <t xml:space="preserve"> Also dye/thermal dilution</t>
  </si>
  <si>
    <t>GO:0003037</t>
  </si>
  <si>
    <t>Gravity &amp; regional perfusion</t>
  </si>
  <si>
    <t>West zones (1–3, ±4):  Zone 1: Ppa&lt;Palv → no flow (dead space)</t>
  </si>
  <si>
    <t>West zones (1–3, ±4)</t>
  </si>
  <si>
    <t xml:space="preserve"> Zone 1: Ppa&lt;Palv → no flow (dead space)</t>
  </si>
  <si>
    <t>133Xe perfusion imaging</t>
  </si>
  <si>
    <t>Hydrostatic column</t>
  </si>
  <si>
    <t xml:space="preserve"> posture</t>
  </si>
  <si>
    <t xml:space="preserve"> exercise</t>
  </si>
  <si>
    <t>978-1-9751-3918-27</t>
  </si>
  <si>
    <t>West zones (1–3, ±4):  Zone 2: flow ∝ Ppa−Palv (Starling resistor)</t>
  </si>
  <si>
    <t>X formation</t>
  </si>
  <si>
    <t>perfusion gradient</t>
  </si>
  <si>
    <t>L·min⁻¹·(distance)⁻¹</t>
  </si>
  <si>
    <t xml:space="preserve"> Zone 2: flow ∝ Ppa−Palv (Starling resistor)</t>
  </si>
  <si>
    <t>West zones (1–3, ±4):  Zone 3: flow ∝ Ppa−Ppv; distension</t>
  </si>
  <si>
    <t xml:space="preserve"> Zone 3: flow ∝ Ppa−Ppv; distension</t>
  </si>
  <si>
    <t>GO:0003038</t>
  </si>
  <si>
    <t>Active vasomotor control</t>
  </si>
  <si>
    <t>Hypoxic pulmonary vasoconstriction (HPV):  Alveolar PO₂↓ → arteriolar SMC constrict</t>
  </si>
  <si>
    <t>Cell</t>
  </si>
  <si>
    <t>arteriolar SMC</t>
  </si>
  <si>
    <t>smooth muscle cell</t>
  </si>
  <si>
    <t>CL:0000192</t>
  </si>
  <si>
    <t>X vasoconstriction</t>
  </si>
  <si>
    <t>hypoxic vasoconstriction</t>
  </si>
  <si>
    <t>% change</t>
  </si>
  <si>
    <t>Hypoxic pulmonary vasoconstriction (HPV)</t>
  </si>
  <si>
    <t xml:space="preserve"> Alveolar PO₂↓ → arteriolar SMC constrict</t>
  </si>
  <si>
    <t>Cellular</t>
  </si>
  <si>
    <t>Vasoreactivity</t>
  </si>
  <si>
    <t>Inhaled Nitric Oxide</t>
  </si>
  <si>
    <t>Endothelin/TXA₂ constrict</t>
  </si>
  <si>
    <t xml:space="preserve"> NO/cGMP dilate</t>
  </si>
  <si>
    <t>978-1-9751-3918-28</t>
  </si>
  <si>
    <t>Hypoxic pulmonary vasoconstriction (HPV):  K⁺ channel inhibition → depolarization → Ca²⁺↑</t>
  </si>
  <si>
    <t>lung endothelial cell</t>
  </si>
  <si>
    <t>CL:1001567</t>
  </si>
  <si>
    <t>depolarization and Ca²⁺ entry</t>
  </si>
  <si>
    <t>mol·s⁻¹·cell⁻¹</t>
  </si>
  <si>
    <t xml:space="preserve"> K⁺ channel inhibition → depolarization → Ca²⁺↑</t>
  </si>
  <si>
    <t>Hypoxic pulmonary vasoconstriction (HPV):  Redirects flow from hypoxic units</t>
  </si>
  <si>
    <t>X redistribution</t>
  </si>
  <si>
    <t>gas flow</t>
  </si>
  <si>
    <t xml:space="preserve"> Redirects flow from hypoxic units</t>
  </si>
  <si>
    <t>GO:0003039</t>
  </si>
  <si>
    <t>Other tone modifiers</t>
  </si>
  <si>
    <t>Constrictors vs dilators:  Constrictors: endothelin, histamine, serotonin, TXA₂, acidemia</t>
  </si>
  <si>
    <t>respiratory system blood vessel smooth muscle cell</t>
  </si>
  <si>
    <t>endothelin/histamine/serotonin/TXA₂</t>
  </si>
  <si>
    <t>vasoconstriction</t>
  </si>
  <si>
    <t>Constrictors vs dilators</t>
  </si>
  <si>
    <t xml:space="preserve"> Constrictors: endothelin, histamine, serotonin, TXA₂, acidemia</t>
  </si>
  <si>
    <t>paracrine</t>
  </si>
  <si>
    <t>Minutes–hours</t>
  </si>
  <si>
    <t>Vasodilator response</t>
  </si>
  <si>
    <t>Drug–tone interplay with lung volume</t>
  </si>
  <si>
    <t>978-1-9751-3918-29</t>
  </si>
  <si>
    <t>Constrictors vs dilators:  Dilators: ACh, CCBs, NO, PDE-5i, PGI₂</t>
  </si>
  <si>
    <t>ACh/NO/PGI₂</t>
  </si>
  <si>
    <t xml:space="preserve"> Dilators: ACh, CCBs, NO, PDE-5i, PGI₂</t>
  </si>
  <si>
    <t>Constrictors vs dilators:  Autonomics: weak</t>
  </si>
  <si>
    <t>autonomic influence</t>
  </si>
  <si>
    <t xml:space="preserve"> Autonomics: weak</t>
  </si>
  <si>
    <t>GO:0003040</t>
  </si>
  <si>
    <t>Fluid balance (Starling)</t>
  </si>
  <si>
    <t>Prevent edema across 0.3 µm barrier:  Net flux ∝ K[(Pc−Pi) − σ(πc−πi)]</t>
  </si>
  <si>
    <t>Endothelium</t>
  </si>
  <si>
    <t>lung endothelium</t>
  </si>
  <si>
    <t>UBERON:0013479</t>
  </si>
  <si>
    <t>X calculation</t>
  </si>
  <si>
    <t>fluid flux</t>
  </si>
  <si>
    <t>Prevent edema across 0.3 µm barrier</t>
  </si>
  <si>
    <t xml:space="preserve"> Net flux ∝ K[(Pc−Pi) − σ(πc−πi)]</t>
  </si>
  <si>
    <t>Lymph flow</t>
  </si>
  <si>
    <t>edema signs</t>
  </si>
  <si>
    <t>Edema: gas exchange failure when alveoli flood</t>
  </si>
  <si>
    <t>978-1-9751-3918-30</t>
  </si>
  <si>
    <t>Prevent edema across 0.3 µm barrier:  Interstitium → perivascular/peribronchial sump</t>
  </si>
  <si>
    <t>interstitium</t>
  </si>
  <si>
    <t>lung connective tissue</t>
  </si>
  <si>
    <t>UBERON:0000114</t>
  </si>
  <si>
    <t>X risk</t>
  </si>
  <si>
    <t>edema</t>
  </si>
  <si>
    <t xml:space="preserve"> Interstitium → perivascular/peribronchial sump</t>
  </si>
  <si>
    <t>Prevent edema across 0.3 µm barrier:  Lymph clearance ↑ with Pc↑</t>
  </si>
  <si>
    <t>Lymphatic endothelial cell</t>
  </si>
  <si>
    <t>cycling endothelial cell of lymphatic vessel</t>
  </si>
  <si>
    <t>CL:4033079</t>
  </si>
  <si>
    <t>X clearance</t>
  </si>
  <si>
    <t>lymph</t>
  </si>
  <si>
    <t xml:space="preserve"> Lymph clearance ↑ with Pc↑</t>
  </si>
  <si>
    <t>GO:0003041</t>
  </si>
  <si>
    <t>Reservoir &amp; filter</t>
  </si>
  <si>
    <t>Non-gas functions:  Reservoir: lung blood volume expands with pressure</t>
  </si>
  <si>
    <t>Vascular bed, lymphatics</t>
  </si>
  <si>
    <t>X storage</t>
  </si>
  <si>
    <t>blood volume</t>
  </si>
  <si>
    <t>Non-gas functions</t>
  </si>
  <si>
    <t xml:space="preserve"> Reservoir: lung blood volume expands with pressure</t>
  </si>
  <si>
    <t>perfusion scans</t>
  </si>
  <si>
    <t>Coupled to recruitment/distension</t>
  </si>
  <si>
    <t>978-1-9751-3918-31</t>
  </si>
  <si>
    <t>Non-gas functions:  Filter: traps thrombi/WBCs</t>
  </si>
  <si>
    <t>X filtering</t>
  </si>
  <si>
    <t>blood</t>
  </si>
  <si>
    <t xml:space="preserve"> Filter: traps thrombi/WBCs</t>
  </si>
  <si>
    <t>Non-gas functions: Alveolar-Capillary Barrier does Immunologic/metabolic roles</t>
  </si>
  <si>
    <t>immune and metabolic function</t>
  </si>
  <si>
    <t>Alveolar-Capillary Barrier does Immunologic/metabolic roles</t>
  </si>
  <si>
    <t>GO:0003042</t>
  </si>
  <si>
    <t>Cellular metabolism</t>
  </si>
  <si>
    <t>DNA metabolic process</t>
  </si>
  <si>
    <t>GO:0006259</t>
  </si>
  <si>
    <t>Metabolic functions</t>
  </si>
  <si>
    <t>metabolic process</t>
  </si>
  <si>
    <t>GO:0008152</t>
  </si>
  <si>
    <t>Modify bloodborne substances:  ACE converts Ang I→Ang II (activation)</t>
  </si>
  <si>
    <t>Endothelial cells</t>
  </si>
  <si>
    <t>ACE activity</t>
  </si>
  <si>
    <t>X conversion to Y</t>
  </si>
  <si>
    <t>Angiotensin I (Ang I)</t>
  </si>
  <si>
    <t>Angiotensin II (Ang II)</t>
  </si>
  <si>
    <t>mol·min⁻¹</t>
  </si>
  <si>
    <t>Modify bloodborne substances</t>
  </si>
  <si>
    <t xml:space="preserve"> ACE converts Ang I→Ang II (activation)</t>
  </si>
  <si>
    <t>ACE/Ang II activity, drug response</t>
  </si>
  <si>
    <t>Arachidonic pathways</t>
  </si>
  <si>
    <t xml:space="preserve"> platelet effects</t>
  </si>
  <si>
    <t>978-1-9751-3918-32</t>
  </si>
  <si>
    <t>Modify bloodborne substances:  Inactivation: bradykinin (ACE), serotonin (uptake), PGE₂/F₂α</t>
  </si>
  <si>
    <t>bradykinin; serotonin; PGE₂; PGF₂α</t>
  </si>
  <si>
    <t>X level</t>
  </si>
  <si>
    <t>vasoactive mediator</t>
  </si>
  <si>
    <t>mol·L⁻¹</t>
  </si>
  <si>
    <t xml:space="preserve"> Inactivation: bradykinin (ACE), serotonin (uptake), PGE₂/F₂α</t>
  </si>
  <si>
    <t>Modify bloodborne substances:  Little change: Ang II, vasopressin, PGA₁/₂, PGI₂</t>
  </si>
  <si>
    <t>Ang II; vasopressin; PGA₁/₂; PGI₂</t>
  </si>
  <si>
    <t>X maintenance</t>
  </si>
  <si>
    <t>circulating mediator</t>
  </si>
  <si>
    <t xml:space="preserve"> Little change: Ang II, vasopressin, PGA₁/₂, PGI₂</t>
  </si>
  <si>
    <t>circulatory</t>
  </si>
  <si>
    <t>GO:0003043</t>
  </si>
  <si>
    <t>Ventilation–Perfusion Relationships</t>
  </si>
  <si>
    <t>V/Q matching</t>
  </si>
  <si>
    <t>Define oxygen pathway</t>
  </si>
  <si>
    <t>oxygen transport</t>
  </si>
  <si>
    <t>GO:0015671</t>
  </si>
  <si>
    <t>O₂ fall from air → tissues:  Inspired PO₂ ≈ 149 mmHg (sea level, 37°C)</t>
  </si>
  <si>
    <t xml:space="preserve">Organ </t>
  </si>
  <si>
    <t>inspired oxygen</t>
  </si>
  <si>
    <t>O₂ fall from air → tissues</t>
  </si>
  <si>
    <t xml:space="preserve"> Inspired PO₂ ≈ 149 mmHg (sea level, 37°C)</t>
  </si>
  <si>
    <t>PAO₂calc (Alv gas eqn)</t>
  </si>
  <si>
    <t>Coupled to V̇CO₂</t>
  </si>
  <si>
    <t xml:space="preserve"> R (≈0.8)</t>
  </si>
  <si>
    <t>978-1-9751-3918-33</t>
  </si>
  <si>
    <t>O₂ fall from air → tissues:  Alveolar PO₂ ≈ 100 mmHg (balance of V̇A vs uptake)</t>
  </si>
  <si>
    <t xml:space="preserve"> Alveolar PO₂ ≈ 100 mmHg (balance of V̇A vs uptake)</t>
  </si>
  <si>
    <t>GO:0003044</t>
  </si>
  <si>
    <t>Four causes of hypoxemia</t>
  </si>
  <si>
    <t>Categorize mechanisms:  Hypoventilation</t>
  </si>
  <si>
    <t>Xprocess</t>
  </si>
  <si>
    <t>ventilation</t>
  </si>
  <si>
    <t>Categorize mechanisms</t>
  </si>
  <si>
    <t xml:space="preserve"> Hypoventilation</t>
  </si>
  <si>
    <t>A–a gradient</t>
  </si>
  <si>
    <t>response to 100% O_</t>
  </si>
  <si>
    <t>Mechanism-specific patterns</t>
  </si>
  <si>
    <t>978-1-9751-3918-34</t>
  </si>
  <si>
    <t>Categorize mechanisms:  Diffusion limitation</t>
  </si>
  <si>
    <t>oxygen diffusion</t>
  </si>
  <si>
    <t xml:space="preserve"> Diffusion limitation</t>
  </si>
  <si>
    <t>Categorize mechanisms:  Shunt</t>
  </si>
  <si>
    <t>arterial oxygenation</t>
  </si>
  <si>
    <t xml:space="preserve"> Shunt</t>
  </si>
  <si>
    <t>Categorize mechanisms:  V̇/Q̇ inequality</t>
  </si>
  <si>
    <t>X matching</t>
  </si>
  <si>
    <t>ventilation–perfusion</t>
  </si>
  <si>
    <t xml:space="preserve"> V̇/Q̇ inequality</t>
  </si>
  <si>
    <t>GO:0003045</t>
  </si>
  <si>
    <t>Hypoventilation</t>
  </si>
  <si>
    <t>Low alveolar ventilation:  Alv vent eqn: PaCO₂ ∝ V̇CO₂/V̇A</t>
  </si>
  <si>
    <t>X equation</t>
  </si>
  <si>
    <t>Low alveolar ventilation</t>
  </si>
  <si>
    <t xml:space="preserve"> Alv vent eqn: PaCO₂ ∝ V̇CO₂/V̇A</t>
  </si>
  <si>
    <t>Alveolar Partial Pressure of Oxygen</t>
  </si>
  <si>
    <t>O₂easily reverses hypoxemia</t>
  </si>
  <si>
    <t>978-1-9751-3918-35</t>
  </si>
  <si>
    <t>Low alveolar ventilation:  Alv gas eqn links PAO₂ to PaCO₂ &amp; R</t>
  </si>
  <si>
    <t>alveolar gas</t>
  </si>
  <si>
    <t xml:space="preserve"> Alv gas eqn links PAO₂ to PaCO₂ &amp; R</t>
  </si>
  <si>
    <t>Low alveolar ventilation:  CO₂ stores delay steady state</t>
  </si>
  <si>
    <t>X attainment</t>
  </si>
  <si>
    <t>steady state</t>
  </si>
  <si>
    <t xml:space="preserve"> CO₂ stores delay steady state</t>
  </si>
  <si>
    <t>GO:0003046</t>
  </si>
  <si>
    <t>Diffusion limitation</t>
  </si>
  <si>
    <t>Incomplete equilibration O₂:  Normal rest: end-capillary ≈ PAO₂</t>
  </si>
  <si>
    <t>oxygen equilibration</t>
  </si>
  <si>
    <t>Incomplete equilibration O₂</t>
  </si>
  <si>
    <t xml:space="preserve"> Normal rest: end-capillary ≈ PAO₂</t>
  </si>
  <si>
    <t>exercise desat</t>
  </si>
  <si>
    <t>Interacts with PAO_</t>
  </si>
  <si>
    <t xml:space="preserve"> time</t>
  </si>
  <si>
    <t>978-1-9751-3918-36</t>
  </si>
  <si>
    <t>Incomplete equilibration O₂:  Exercise/thickened barrier/low PAO₂ → slower rise</t>
  </si>
  <si>
    <t>s⁻¹</t>
  </si>
  <si>
    <t xml:space="preserve"> Exercise/thickened barrier/low PAO₂ → slower rise</t>
  </si>
  <si>
    <t>Incomplete equilibration O₂:  Rarely causes rest hypoxemia at sea level</t>
  </si>
  <si>
    <t>resting oxygenation</t>
  </si>
  <si>
    <t xml:space="preserve"> Rarely causes rest hypoxemia at sea level</t>
  </si>
  <si>
    <t>GO:0003047</t>
  </si>
  <si>
    <t>Shunt physiology</t>
  </si>
  <si>
    <t>Venous blood bypasses ventilated alveoli:  Sources: bronchial &amp; thebesian flow (~5%)</t>
  </si>
  <si>
    <t>X contribution</t>
  </si>
  <si>
    <t>physiologic shunt</t>
  </si>
  <si>
    <t>Venous blood bypasses ventilated alveoli</t>
  </si>
  <si>
    <t xml:space="preserve"> Sources: bronchial &amp; thebesian flow (~5%)</t>
  </si>
  <si>
    <t>O₂dissociation curve explains poor response</t>
  </si>
  <si>
    <t>978-1-9751-3918-37</t>
  </si>
  <si>
    <t>Venous blood bypasses ventilated alveoli:  Pathologic: intracardiac, AVMs, consolidated lung</t>
  </si>
  <si>
    <t>pathologic shunt</t>
  </si>
  <si>
    <t xml:space="preserve"> Pathologic: intracardiac, AVMs, consolidated lung</t>
  </si>
  <si>
    <t>Venous blood bypasses ventilated alveoli:  Shunt equation for QS/QT</t>
  </si>
  <si>
    <t>shunt</t>
  </si>
  <si>
    <t xml:space="preserve"> Shunt equation for QS/QT</t>
  </si>
  <si>
    <t>GO:0003048</t>
  </si>
  <si>
    <t>V̇/Q̇ ratio — core concept</t>
  </si>
  <si>
    <t>Ratio sets unit gas composition:  Unit PO₂, PCO₂ determined by V̇A/Q̇</t>
  </si>
  <si>
    <t>X determination</t>
  </si>
  <si>
    <t>mmHg (per gas)</t>
  </si>
  <si>
    <t>Ratio sets unit gas composition</t>
  </si>
  <si>
    <t xml:space="preserve"> Unit PO₂, PCO₂ determined by V̇A/Q̇</t>
  </si>
  <si>
    <t>End-capillary gases</t>
  </si>
  <si>
    <t>O₂–CO₂ diagram mapping</t>
  </si>
  <si>
    <t>978-1-9751-3918-38</t>
  </si>
  <si>
    <t>GO:0003049</t>
  </si>
  <si>
    <t>Regional V̇/Q̇ in upright lung</t>
  </si>
  <si>
    <t>tripartite regional subdivision</t>
  </si>
  <si>
    <t>GO:0007351</t>
  </si>
  <si>
    <t>Apex–base gradients:  Ventilation ↑ down lung (modestly)</t>
  </si>
  <si>
    <t>ventilation gradient</t>
  </si>
  <si>
    <t>Apex–base gradients</t>
  </si>
  <si>
    <t xml:space="preserve"> Ventilation ↑ down lung (modestly)</t>
  </si>
  <si>
    <t>Imaging</t>
  </si>
  <si>
    <t>Imaging examination name</t>
  </si>
  <si>
    <t>104934-5</t>
  </si>
  <si>
    <t>Gravity + compliance + hydrostatic</t>
  </si>
  <si>
    <t>978-1-9751-3918-39</t>
  </si>
  <si>
    <t>Apex–base gradients:  Perfusion ↑ down lung (more)</t>
  </si>
  <si>
    <t xml:space="preserve"> Perfusion ↑ down lung (more)</t>
  </si>
  <si>
    <t>GO:0003050</t>
  </si>
  <si>
    <t>Impact of V̇/Q̇ inequality</t>
  </si>
  <si>
    <t>Depress overall oxygenation:  Blood weighted to low V̇/Q̇ areas (low PO₂)</t>
  </si>
  <si>
    <t>Depress overall oxygenation</t>
  </si>
  <si>
    <t xml:space="preserve"> Blood weighted to low V̇/Q̇ areas (low PO₂)</t>
  </si>
  <si>
    <t>Nonlinear Hb-O₂curve key</t>
  </si>
  <si>
    <t>978-1-9751-3918-40</t>
  </si>
  <si>
    <t>Depress overall oxygenation:  High V̇/Q̇ units add little O₂ (flat Hb curve)</t>
  </si>
  <si>
    <t>high V̇A/O₂ contribution</t>
  </si>
  <si>
    <t xml:space="preserve"> High V̇/Q̇ units add little O₂ (flat Hb curve)</t>
  </si>
  <si>
    <t>Depress overall oxygenation:  → A–a PO₂ difference ↑</t>
  </si>
  <si>
    <t xml:space="preserve"> → A–a PO₂ difference ↑</t>
  </si>
  <si>
    <t>GO:0003051</t>
  </si>
  <si>
    <t>CO₂ handling in V̇/Q̇ mismatch</t>
  </si>
  <si>
    <t>Why PaCO₂ often normal:  Pure V̇/Q̇ inequality reduces V̇CO₂</t>
  </si>
  <si>
    <t>X elimination</t>
  </si>
  <si>
    <t>CO₂</t>
  </si>
  <si>
    <t>Why PaCO₂ often normal</t>
  </si>
  <si>
    <t xml:space="preserve"> Pure V̇/Q̇ inequality reduces V̇CO₂</t>
  </si>
  <si>
    <t>CO₂ curve ~linear → easier to correct</t>
  </si>
  <si>
    <t>978-1-9751-3918-41</t>
  </si>
  <si>
    <t>Why PaCO₂ often normal:  Chemoreflex ↑V̇A restores PaCO₂</t>
  </si>
  <si>
    <t>X compensation</t>
  </si>
  <si>
    <t xml:space="preserve"> Chemoreflex ↑V̇A restores PaCO₂</t>
  </si>
  <si>
    <t>Why PaCO₂ often normal:  “Wasted ventilation” ↑ (physiologic dead space)</t>
  </si>
  <si>
    <t>physiologic dead space</t>
  </si>
  <si>
    <t xml:space="preserve"> “Wasted ventilation” ↑ (physiologic dead space)</t>
  </si>
  <si>
    <t>GO:0003052</t>
  </si>
  <si>
    <t>Inert gas method (concept)</t>
  </si>
  <si>
    <t>gas vesicle</t>
  </si>
  <si>
    <t>GO:0031411</t>
  </si>
  <si>
    <t>Measure V̇/Q̇ distributions:  Infuse multiple inert gases</t>
  </si>
  <si>
    <t>Whole lung</t>
  </si>
  <si>
    <t>X infusion</t>
  </si>
  <si>
    <t>inert gas</t>
  </si>
  <si>
    <t>Measure V̇/Q̇ distributions</t>
  </si>
  <si>
    <t xml:space="preserve"> Infuse multiple inert gases</t>
  </si>
  <si>
    <t>MIGET patterns</t>
  </si>
  <si>
    <t>Research/advanced PFT</t>
  </si>
  <si>
    <t>978-1-9751-3918-42</t>
  </si>
  <si>
    <t>Measure V̇/Q̇ distributions:  Solve ventilation &amp; flow vs V̇/Q̇ (log bins)</t>
  </si>
  <si>
    <t>X distribution</t>
  </si>
  <si>
    <t>V̇A/Q̇</t>
  </si>
  <si>
    <t xml:space="preserve"> Solve ventilation &amp; flow vs V̇/Q̇ (log bins)</t>
  </si>
  <si>
    <t>Measure V̇/Q̇ distributions:  Normal: tight around ≈1, no shunt</t>
  </si>
  <si>
    <t xml:space="preserve"> Normal: tight around ≈1, no shunt</t>
  </si>
  <si>
    <t>GO:0003053</t>
  </si>
  <si>
    <t>A–a PO₂ difference</t>
  </si>
  <si>
    <t>Practical index of mismatch:  PAO₂ via alveolar gas eqn (use PaCO₂)</t>
  </si>
  <si>
    <t>Practical index of mismatch</t>
  </si>
  <si>
    <t xml:space="preserve"> PAO₂ via alveolar gas eqn (use PaCO₂)</t>
  </si>
  <si>
    <t>A–a gradient trends</t>
  </si>
  <si>
    <t>Requires known FiO₂&amp; R</t>
  </si>
  <si>
    <t>978-1-9751-3918-43</t>
  </si>
  <si>
    <t>Practical index of mismatch:  A–a = PAO₂ − PaO₂</t>
  </si>
  <si>
    <t>alveolar–arterial gradient</t>
  </si>
  <si>
    <t>alveolar O₂ − arterial O₂</t>
  </si>
  <si>
    <t xml:space="preserve"> A–a = PAO₂ − PaO₂</t>
  </si>
  <si>
    <t>Practical index of mismatch:  Normal ≈ 10–15 mmHg (↑ with age)</t>
  </si>
  <si>
    <t xml:space="preserve"> Normal ≈ 10–15 mmHg (↑ with age)</t>
  </si>
  <si>
    <t>GO:0003054</t>
  </si>
  <si>
    <t>O₂ response as diagnostic</t>
  </si>
  <si>
    <t>oxidoreductase activity, reducing C-O-C group as acceptor</t>
  </si>
  <si>
    <t>GO:0120546</t>
  </si>
  <si>
    <t>FiO₂ challenge:  100% O₂ ↑ PAO₂ greatly</t>
  </si>
  <si>
    <t>FiO₂ challenge</t>
  </si>
  <si>
    <t xml:space="preserve"> 100% O₂ ↑ PAO₂ greatly</t>
  </si>
  <si>
    <t>Hb curve near-flat at high PO_</t>
  </si>
  <si>
    <t>978-1-9751-3918-44</t>
  </si>
  <si>
    <t>FiO₂ challenge:  V̇/Q̇ mismatch: PaO₂ rises substantially</t>
  </si>
  <si>
    <t>X improvement</t>
  </si>
  <si>
    <t xml:space="preserve"> V̇/Q̇ mismatch: PaO₂ rises substantially</t>
  </si>
  <si>
    <t>FiO₂ challenge:  Shunt: PaO₂ rises inadequately</t>
  </si>
  <si>
    <t xml:space="preserve"> Shunt: PaO₂ rises inadequately</t>
  </si>
  <si>
    <t>GO:0003055</t>
  </si>
  <si>
    <t>Gas Transport by the Blood</t>
  </si>
  <si>
    <t>Oxygen carriage</t>
  </si>
  <si>
    <t>O₂ carriage in solution</t>
  </si>
  <si>
    <t>O-acetyltransferase activity</t>
  </si>
  <si>
    <t>GO:0016413</t>
  </si>
  <si>
    <t>Henry’s law (dissolved O₂):  [O₂]_diss = 0.003 ml·dl⁻¹·mmHg⁻¹ × PO₂</t>
  </si>
  <si>
    <t>oxygen dissolution</t>
  </si>
  <si>
    <t>oxygen partial pressure × solubility coefficient</t>
  </si>
  <si>
    <t>mL·O₂·dL⁻¹</t>
  </si>
  <si>
    <t>Henry’s law (dissolved O₂)</t>
  </si>
  <si>
    <t xml:space="preserve"> [O₂]_diss = 0.003 ml·dl⁻¹·mmHg⁻¹ × PO₂</t>
  </si>
  <si>
    <t>Dissolved O₂(calc)</t>
  </si>
  <si>
    <t>Sets baseline</t>
  </si>
  <si>
    <t xml:space="preserve"> minor fraction</t>
  </si>
  <si>
    <t>978-1-9751-3918-45</t>
  </si>
  <si>
    <t>Henry’s law (dissolved O₂):  At PaO₂≈100 → 0.3 ml O₂/dl</t>
  </si>
  <si>
    <t>X quantification</t>
  </si>
  <si>
    <t>dissolved oxygen</t>
  </si>
  <si>
    <t xml:space="preserve"> At PaO₂≈100 → 0.3 ml O₂/dl</t>
  </si>
  <si>
    <t>Henry’s law (dissolved O₂):  Insufficient at high cardiac output</t>
  </si>
  <si>
    <t>X adequacy</t>
  </si>
  <si>
    <t xml:space="preserve"> Insufficient at high cardiac output</t>
  </si>
  <si>
    <t>GO:0003056</t>
  </si>
  <si>
    <t>O₂ carriage on Hb</t>
  </si>
  <si>
    <t>Hb binding &amp; capacity:  Hb binds O₂ at 4 heme sites</t>
  </si>
  <si>
    <t>X binding</t>
  </si>
  <si>
    <t>oxygen binding</t>
  </si>
  <si>
    <t>Hb binding &amp; capacity</t>
  </si>
  <si>
    <t xml:space="preserve"> Hb binds O₂ at 4 heme sites</t>
  </si>
  <si>
    <t>Dominant transport form</t>
  </si>
  <si>
    <t>978-1-9751-3918-46</t>
  </si>
  <si>
    <t>Hb binding &amp; capacity:  O₂ capacity ≈ 1.39 ml/g × [Hb] (≈20.8 ml/dl at 15 g/dl)</t>
  </si>
  <si>
    <t>oxygen capacity</t>
  </si>
  <si>
    <t xml:space="preserve"> O₂ capacity ≈ 1.39 ml/g × [Hb] (≈20.8 ml/dl at 15 g/dl)</t>
  </si>
  <si>
    <t>Hb binding &amp; capacity:  Content = 1.39×Hb×Sat + 0.003×PO₂</t>
  </si>
  <si>
    <t>oxygen content</t>
  </si>
  <si>
    <t>bound + dissolved oxygen</t>
  </si>
  <si>
    <t xml:space="preserve"> Content = 1.39×Hb×Sat + 0.003×PO₂</t>
  </si>
  <si>
    <t>GO:0003057</t>
  </si>
  <si>
    <t>O₂ dissociation curve</t>
  </si>
  <si>
    <t>S-shaped curve &amp; anchors:  R-state vs T-state transitions</t>
  </si>
  <si>
    <t>Red blood cell</t>
  </si>
  <si>
    <t>primitive red blood cell</t>
  </si>
  <si>
    <t>CL:0002355</t>
  </si>
  <si>
    <t>X transition</t>
  </si>
  <si>
    <t xml:space="preserve">hemoglobin allosteric </t>
  </si>
  <si>
    <t>S-shaped curve &amp; anchors</t>
  </si>
  <si>
    <t xml:space="preserve"> R-state vs T-state transitions</t>
  </si>
  <si>
    <t>Arterial Oxygen Saturation</t>
  </si>
  <si>
    <t xml:space="preserve"> Oxygen Tension at 50% Hemoglobin Saturation</t>
  </si>
  <si>
    <t>Facilitates loading &amp; unloading</t>
  </si>
  <si>
    <t>978-1-9751-3918-47</t>
  </si>
  <si>
    <t>S-shaped curve &amp; anchors:  Anchor points: PO₂ 100→Sat≈97%; 40→75%; P50≈27→50%</t>
  </si>
  <si>
    <t>X definition</t>
  </si>
  <si>
    <t>saturation anchor</t>
  </si>
  <si>
    <t xml:space="preserve"> Anchor points: PO₂ 100→Sat≈97%; 40→75%; P50≈27→50%</t>
  </si>
  <si>
    <t>S-shaped curve &amp; anchors:  Flat top, steep limb</t>
  </si>
  <si>
    <t xml:space="preserve"> Flat top, steep limb</t>
  </si>
  <si>
    <t>GO:0003058</t>
  </si>
  <si>
    <t>Curve shifts (Bohr/temperature/DPG)</t>
  </si>
  <si>
    <t>temperature homeostasis</t>
  </si>
  <si>
    <t>GO:0001659</t>
  </si>
  <si>
    <t>Affinity modulation:  ↑H⁺/↑PCO₂/↑Temp/↑2,3-DPG → right shift (↓affinity)</t>
  </si>
  <si>
    <t>X affinity</t>
  </si>
  <si>
    <t>hemoglobin affinity</t>
  </si>
  <si>
    <t>Affinity modulation</t>
  </si>
  <si>
    <t xml:space="preserve"> ↑H⁺/↑PCO₂/↑Temp/↑2,3-DPG → right shift (↓affinity)</t>
  </si>
  <si>
    <t>Seconds–hours</t>
  </si>
  <si>
    <t>Oxygen Tension at 50% Hemoglobin Saturation</t>
  </si>
  <si>
    <t>Bohr effect</t>
  </si>
  <si>
    <t xml:space="preserve"> DPG adapts to chronic hypoxia</t>
  </si>
  <si>
    <t>978-1-9751-3918-48</t>
  </si>
  <si>
    <t>Affinity modulation:  Opposites → left shift (↑affinity)</t>
  </si>
  <si>
    <t xml:space="preserve"> Opposites → left shift (↑affinity)</t>
  </si>
  <si>
    <t>Affinity modulation:  P50 tracks position</t>
  </si>
  <si>
    <t>X relation</t>
  </si>
  <si>
    <t>P50 shift</t>
  </si>
  <si>
    <t xml:space="preserve"> P50 tracks position</t>
  </si>
  <si>
    <t>GO:0003059</t>
  </si>
  <si>
    <t>Abnormal Hbs</t>
  </si>
  <si>
    <t>MetHb, COHb, HbF, HbS:  Oxidation Fe²⁺→Fe³⁺ (MetHb) ↓binding &amp; release</t>
  </si>
  <si>
    <t>X capacity</t>
  </si>
  <si>
    <t>MetHb, COHb, HbF, HbS</t>
  </si>
  <si>
    <t xml:space="preserve"> Oxidation Fe²⁺→Fe³⁺ (MetHb) ↓binding &amp; release</t>
  </si>
  <si>
    <t>Hemoglobin</t>
  </si>
  <si>
    <t>Hemoglobin test status CPHS</t>
  </si>
  <si>
    <t>39226-6</t>
  </si>
  <si>
    <t>Fraction of Carboxyhemoglobin</t>
  </si>
  <si>
    <t>Left-shift impairs offloading</t>
  </si>
  <si>
    <t>978-1-9751-3918-49</t>
  </si>
  <si>
    <t>MetHb, COHb, HbF, HbS:  COHb: CO affinity ~240× O₂ → left shift + ↓capacity</t>
  </si>
  <si>
    <t xml:space="preserve"> COHb: CO affinity ~240× O₂ → left shift + ↓capacity</t>
  </si>
  <si>
    <t>MetHb, COHb, HbF, HbS:  HbF: ↑affinity (left shift)</t>
  </si>
  <si>
    <t>oxygen affinity</t>
  </si>
  <si>
    <t xml:space="preserve"> HbF: ↑affinity (left shift)</t>
  </si>
  <si>
    <t>GO:0003060</t>
  </si>
  <si>
    <t>Carbon dioxide carriage</t>
  </si>
  <si>
    <t>carbon dioxide binding</t>
  </si>
  <si>
    <t>GO:1902670</t>
  </si>
  <si>
    <t>CO₂ forms</t>
  </si>
  <si>
    <t>carbon monoxide binding</t>
  </si>
  <si>
    <t>GO:0070025</t>
  </si>
  <si>
    <t>Dissolved, HCO₃⁻, carbamino:  CO₂ + H₂O ↔ H₂CO₃ ↔ H⁺ + HCO₃⁻ (CA in RBC)</t>
  </si>
  <si>
    <t>bicarbonate formation</t>
  </si>
  <si>
    <t>mmol·L⁻¹</t>
  </si>
  <si>
    <t>Dissolved, HCO₃⁻, carbamino</t>
  </si>
  <si>
    <t xml:space="preserve"> CO₂ + H₂O ↔ H₂CO₃ ↔ H⁺ + HCO₃⁻ (CA in RBC)</t>
  </si>
  <si>
    <t>Gibbs-Donnan/Cl⁻-HCO₃⁻ exchanger</t>
  </si>
  <si>
    <t>978-1-9751-3918-50</t>
  </si>
  <si>
    <t>Dissolved, HCO₃⁻, carbamino:  Carbamino on terminal amines (globin)</t>
  </si>
  <si>
    <t>carbamino formation</t>
  </si>
  <si>
    <t xml:space="preserve"> Carbamino on terminal amines (globin)</t>
  </si>
  <si>
    <t>Dissolved, HCO₃⁻, carbamino:  Chloride shift maintains electroneutrality</t>
  </si>
  <si>
    <t>chloride shift</t>
  </si>
  <si>
    <t xml:space="preserve"> Chloride shift maintains electroneutrality</t>
  </si>
  <si>
    <t>GO:0003061</t>
  </si>
  <si>
    <t>Haldane effect</t>
  </si>
  <si>
    <t>symbiont-mediated disruption of host tissue</t>
  </si>
  <si>
    <t>GO:0141146</t>
  </si>
  <si>
    <t>O₂ation state modulates CO₂ carriage:  DeoxyHb buffers H⁺ better → ↑HCO₃⁻ formation</t>
  </si>
  <si>
    <t>bicarbonate</t>
  </si>
  <si>
    <t>O₂ation state modulates CO₂ carriage</t>
  </si>
  <si>
    <t xml:space="preserve"> DeoxyHb buffers H⁺ better → ↑HCO₃⁻ formation</t>
  </si>
  <si>
    <t>Key to efficient CO₂ transport</t>
  </si>
  <si>
    <t>978-1-9751-3918-51</t>
  </si>
  <si>
    <t>O₂ation state modulates CO₂ carriage:  DeoxyHb binds more CO₂ (carbamino)</t>
  </si>
  <si>
    <t>carbamino</t>
  </si>
  <si>
    <t xml:space="preserve"> DeoxyHb binds more CO₂ (carbamino)</t>
  </si>
  <si>
    <t>O₂ation state modulates CO₂ carriage:  OxyHb releases CO₂</t>
  </si>
  <si>
    <t>X release</t>
  </si>
  <si>
    <t xml:space="preserve"> OxyHb releases CO₂</t>
  </si>
  <si>
    <t>GO:0003062</t>
  </si>
  <si>
    <t>CO₂ dissociation curve</t>
  </si>
  <si>
    <t>desmosome disassembly</t>
  </si>
  <si>
    <t>GO:0035921</t>
  </si>
  <si>
    <t>Shape &amp; implications:  More linear, much steeper than O₂</t>
  </si>
  <si>
    <t>Shape &amp; implications</t>
  </si>
  <si>
    <t xml:space="preserve"> More linear, much steeper than O₂</t>
  </si>
  <si>
    <t>Explains CO₂ correction vs O₂</t>
  </si>
  <si>
    <t>978-1-9751-3918-52</t>
  </si>
  <si>
    <t>Shape &amp; implications:  O₂ation (Haldane) shifts it rightward/down</t>
  </si>
  <si>
    <t>CO₂ affinity</t>
  </si>
  <si>
    <t xml:space="preserve"> O₂ation (Haldane) shifts it rightward/down</t>
  </si>
  <si>
    <t>Shape &amp; implications:  Small ΔV̇A changes normalize PaCO₂</t>
  </si>
  <si>
    <t>X deviation</t>
  </si>
  <si>
    <t>PaCO₂</t>
  </si>
  <si>
    <t xml:space="preserve"> Small ΔV̇A changes normalize PaCO₂</t>
  </si>
  <si>
    <t>GO:0003063</t>
  </si>
  <si>
    <t>Acid–base (H–H equation)</t>
  </si>
  <si>
    <t>Henderson–Hasselbalch:  pH = 6.1 + log( HCO₃⁻ / (0.03×PaCO₂) )</t>
  </si>
  <si>
    <t>Lung, circulatory, Kidney</t>
  </si>
  <si>
    <t>pH</t>
  </si>
  <si>
    <t>bicarbonate / CO₂ ratio</t>
  </si>
  <si>
    <t>Henderson–Hasselbalch</t>
  </si>
  <si>
    <t xml:space="preserve"> pH = 6.1 + log( HCO₃⁻ / (0.03×PaCO₂) )</t>
  </si>
  <si>
    <t>Minutes–days</t>
  </si>
  <si>
    <t>Base Excess</t>
  </si>
  <si>
    <t>Base excess in Venous cord blood</t>
  </si>
  <si>
    <t>104812-3</t>
  </si>
  <si>
    <t>Respiratory vs metabolic compensation</t>
  </si>
  <si>
    <t>978-1-9751-3918-53</t>
  </si>
  <si>
    <t>Henderson–Hasselbalch:  Ratio ≈ 20 → pH ≈ 7.40</t>
  </si>
  <si>
    <t>buffer ratio</t>
  </si>
  <si>
    <t xml:space="preserve"> Ratio ≈ 20 → pH ≈ 7.40</t>
  </si>
  <si>
    <t>Henderson–Hasselbalch:  Lung sets PaCO₂; kidney sets HCO₃⁻</t>
  </si>
  <si>
    <t>X regulation</t>
  </si>
  <si>
    <t>acid–base</t>
  </si>
  <si>
    <t xml:space="preserve"> Lung sets PaCO₂; kidney sets HCO₃⁻</t>
  </si>
  <si>
    <t>GO:0003064</t>
  </si>
  <si>
    <t>Davenport diagram</t>
  </si>
  <si>
    <t>Visualize disorders:  Buffer line (whole blood) BAC</t>
  </si>
  <si>
    <t>buffer line</t>
  </si>
  <si>
    <t>Visualize disorders</t>
  </si>
  <si>
    <t xml:space="preserve"> Buffer line (whole blood) BAC</t>
  </si>
  <si>
    <t>Bicarbonate Ion</t>
  </si>
  <si>
    <t>Integrates primary &amp; compensation</t>
  </si>
  <si>
    <t>978-1-9751-3918-54</t>
  </si>
  <si>
    <t>Visualize disorders:  Isopleths: constant PaCO₂</t>
  </si>
  <si>
    <t>isopleth</t>
  </si>
  <si>
    <t xml:space="preserve"> Isopleths: constant PaCO₂</t>
  </si>
  <si>
    <t>Visualize disorders:  Base excess = vertical shift</t>
  </si>
  <si>
    <t>base excess</t>
  </si>
  <si>
    <t>vertical shift</t>
  </si>
  <si>
    <t xml:space="preserve"> Base excess = vertical shift</t>
  </si>
  <si>
    <t>GO:0003065</t>
  </si>
  <si>
    <t>Tissue diffusion &amp; PO₂</t>
  </si>
  <si>
    <t>Delivery vs utilization:  Capillary spacing ~50 μm at rest</t>
  </si>
  <si>
    <t>Capillary beds</t>
  </si>
  <si>
    <t>capillary spacing</t>
  </si>
  <si>
    <t>Delivery vs utilization</t>
  </si>
  <si>
    <t xml:space="preserve"> Capillary spacing ~50 μm at rest</t>
  </si>
  <si>
    <t>Oxygen Delivery</t>
  </si>
  <si>
    <t>Oxygen delivery additional details Narrative</t>
  </si>
  <si>
    <t>107115-8</t>
  </si>
  <si>
    <t>Diffusion &amp; metabolic limits</t>
  </si>
  <si>
    <t>978-1-9751-3918-55</t>
  </si>
  <si>
    <t>Delivery vs utilization:  Exercise opens capillaries → distance ↓, area ↑</t>
  </si>
  <si>
    <t>X distance</t>
  </si>
  <si>
    <t>diffusion distance</t>
  </si>
  <si>
    <t xml:space="preserve"> Exercise opens capillaries → distance ↓, area ↑</t>
  </si>
  <si>
    <t>Delivery vs utilization:  Myoglobin facilitates intracellular O₂ movement</t>
  </si>
  <si>
    <t>X transport</t>
  </si>
  <si>
    <t>intracellular oxygen</t>
  </si>
  <si>
    <t>mol·s⁻¹</t>
  </si>
  <si>
    <t xml:space="preserve"> Myoglobin facilitates intracellular O₂ movement</t>
  </si>
  <si>
    <t>GO:0003066</t>
  </si>
  <si>
    <t>Types of hypoxia</t>
  </si>
  <si>
    <t>detection of hypoxia</t>
  </si>
  <si>
    <t>GO:0070483</t>
  </si>
  <si>
    <t>Hypoxic / anemic / circulatory / histotoxic:  Hypoxic: PaO₂ ↓ (lung)</t>
  </si>
  <si>
    <t>arterial oxygen</t>
  </si>
  <si>
    <t>Hypoxic / anemic / circulatory / histotoxic</t>
  </si>
  <si>
    <t xml:space="preserve"> Hypoxic: PaO₂ ↓ (lung)</t>
  </si>
  <si>
    <t>Mechanism-specific responses</t>
  </si>
  <si>
    <t>978-1-9751-3918-56</t>
  </si>
  <si>
    <t>Hypoxic / anemic / circulatory / histotoxic:  Anemic: Hb ↓/dysfunctional (CO, MetHb)</t>
  </si>
  <si>
    <t>X content</t>
  </si>
  <si>
    <t xml:space="preserve"> Anemic: Hb ↓/dysfunctional (CO, MetHb)</t>
  </si>
  <si>
    <t>Hypoxic / anemic / circulatory / histotoxic:  Circulatory: Q̇ ↓ (shock/local)</t>
  </si>
  <si>
    <t>mL·O₂·min⁻¹</t>
  </si>
  <si>
    <t xml:space="preserve"> Circulatory: Q̇ ↓ (shock/local)</t>
  </si>
  <si>
    <t>Hypoxic / anemic / circulatory / histotoxic:  Histotoxic: utilization blocked (cyanide)</t>
  </si>
  <si>
    <t>hypoxia</t>
  </si>
  <si>
    <t>X utilization</t>
  </si>
  <si>
    <t xml:space="preserve"> Histotoxic: utilization blocked (cyanide)</t>
  </si>
  <si>
    <t>GO:0003067</t>
  </si>
  <si>
    <t>Mechanics of Breathing</t>
  </si>
  <si>
    <t>GO:0007585</t>
  </si>
  <si>
    <t>Lung compliance &amp; elasticity</t>
  </si>
  <si>
    <t>Inspiration mechanics</t>
  </si>
  <si>
    <t xml:space="preserve">Diaphragm and intercostal contraction:  Diaphragm contracts → thorax volume ↑ → intrapleural P ↓ </t>
  </si>
  <si>
    <t>Thorax</t>
  </si>
  <si>
    <t>thoracic cavity</t>
  </si>
  <si>
    <t>UBERON:0002224</t>
  </si>
  <si>
    <t>Intercostal muscles</t>
  </si>
  <si>
    <t>internal intercostal muscle</t>
  </si>
  <si>
    <t>UBERON:0002403</t>
  </si>
  <si>
    <t>intrapleural pressure</t>
  </si>
  <si>
    <t>cmH₂O</t>
  </si>
  <si>
    <t>Diaphragm and intercostal contraction</t>
  </si>
  <si>
    <t xml:space="preserve"> Diaphragm contracts → thorax volume ↑ → intrapleural P ↓ </t>
  </si>
  <si>
    <t>Chest motion</t>
  </si>
  <si>
    <t>Transdiaphragmatic Pressure</t>
  </si>
  <si>
    <t>Neural (Phrenic C3–C5) activation</t>
  </si>
  <si>
    <t>978-1-9751-3918-57</t>
  </si>
  <si>
    <t xml:space="preserve">Diaphragm and intercostal contraction:  External intercostals ↑ AP/lateral diameters </t>
  </si>
  <si>
    <t>external intercostal muscle</t>
  </si>
  <si>
    <t>UBERON:0005441</t>
  </si>
  <si>
    <t>thoracic volume</t>
  </si>
  <si>
    <t>L</t>
  </si>
  <si>
    <t xml:space="preserve"> External intercostals ↑ AP/lateral diameters </t>
  </si>
  <si>
    <t>Diaphragm and intercostal contraction:  Accessory muscles (active in exercise)</t>
  </si>
  <si>
    <t>intercostal muscle</t>
  </si>
  <si>
    <t>UBERON:0001111</t>
  </si>
  <si>
    <t>inspiratory effort</t>
  </si>
  <si>
    <t xml:space="preserve"> Accessory muscles (active in exercise)</t>
  </si>
  <si>
    <t>GO:0003068</t>
  </si>
  <si>
    <t>Expiration mechanics</t>
  </si>
  <si>
    <t xml:space="preserve">Elastic recoil and abdominal muscles:  Passive recoil → quiet expiration </t>
  </si>
  <si>
    <t>Lung &amp; chest wall</t>
  </si>
  <si>
    <t>lung elastic tissue</t>
  </si>
  <si>
    <t>UBERON:0003615</t>
  </si>
  <si>
    <t>passive expiration</t>
  </si>
  <si>
    <t>L·s⁻¹</t>
  </si>
  <si>
    <t>Elastic recoil and abdominal muscles</t>
  </si>
  <si>
    <t xml:space="preserve"> Passive recoil → quiet expiration </t>
  </si>
  <si>
    <t>Flow–volume curve</t>
  </si>
  <si>
    <t>Recoil forces vs airway P</t>
  </si>
  <si>
    <t>978-1-9751-3918-58</t>
  </si>
  <si>
    <t xml:space="preserve">Elastic recoil and abdominal muscles:  Abdominals ↑ intra-abdominal P → push diaphragm up </t>
  </si>
  <si>
    <t>diaphragmatic elevation</t>
  </si>
  <si>
    <t>cm</t>
  </si>
  <si>
    <t xml:space="preserve"> Abdominals ↑ intra-abdominal P → push diaphragm up </t>
  </si>
  <si>
    <t>Elastic recoil and abdominal muscles:  Internal intercostals ↓ rib space volume</t>
  </si>
  <si>
    <t>rib space volume</t>
  </si>
  <si>
    <t xml:space="preserve"> Internal intercostals ↓ rib space volume</t>
  </si>
  <si>
    <t>GO:0003069</t>
  </si>
  <si>
    <t>Elastic properties of lung</t>
  </si>
  <si>
    <t>elastic fiber</t>
  </si>
  <si>
    <t>GO:0071953</t>
  </si>
  <si>
    <t xml:space="preserve">Pressure–volume relationship:  Nonlinear curve (flat at high vol.) </t>
  </si>
  <si>
    <t>Parenchyma (alveoli), lung elastic tissue</t>
  </si>
  <si>
    <t>compliance curve</t>
  </si>
  <si>
    <t>L·cmH₂O⁻¹</t>
  </si>
  <si>
    <t>Pressure–volume relationship</t>
  </si>
  <si>
    <t xml:space="preserve"> Nonlinear curve (flat at high vol.) </t>
  </si>
  <si>
    <t>Compliance (ml/cm H_O)</t>
  </si>
  <si>
    <t>Tissue vs surface tension components</t>
  </si>
  <si>
    <t>978-1-9751-3918-59</t>
  </si>
  <si>
    <t xml:space="preserve">Pressure–volume relationship:  Hysteresis between inflation &amp; deflation </t>
  </si>
  <si>
    <t>hysteresis</t>
  </si>
  <si>
    <t>cmH₂O·L</t>
  </si>
  <si>
    <t xml:space="preserve"> Hysteresis between inflation &amp; deflation </t>
  </si>
  <si>
    <t>Pressure–volume relationship:  Compliance = ΔV / ΔP</t>
  </si>
  <si>
    <t>lung compliance</t>
  </si>
  <si>
    <t>change in volume (ΔV) divided by change in pressure (ΔP)</t>
  </si>
  <si>
    <t xml:space="preserve"> Compliance = ΔV / ΔP</t>
  </si>
  <si>
    <t>GO:0003070</t>
  </si>
  <si>
    <t>Surface tension and surfactant</t>
  </si>
  <si>
    <t>surfactant secretion</t>
  </si>
  <si>
    <t>GO:0160069</t>
  </si>
  <si>
    <t xml:space="preserve">Alveolar film mechanics:  Laplace law: P = 2T/r </t>
  </si>
  <si>
    <t>pulmonary alveolus epithelium</t>
  </si>
  <si>
    <t>UBERON:0004821</t>
  </si>
  <si>
    <t>pressure</t>
  </si>
  <si>
    <t>surface tension / radius</t>
  </si>
  <si>
    <t>Alveolar film mechanics</t>
  </si>
  <si>
    <t xml:space="preserve"> Laplace law: P = 2T/r </t>
  </si>
  <si>
    <t>Static compliance</t>
  </si>
  <si>
    <t>DPPC turnover</t>
  </si>
  <si>
    <t xml:space="preserve"> interdependence</t>
  </si>
  <si>
    <t>978-1-9751-3918-60</t>
  </si>
  <si>
    <t xml:space="preserve">Alveolar film mechanics:  DPPC in surfactant reduces T </t>
  </si>
  <si>
    <t>surface tension</t>
  </si>
  <si>
    <t>N·m⁻¹</t>
  </si>
  <si>
    <t xml:space="preserve"> DPPC in surfactant reduces T </t>
  </si>
  <si>
    <t>Alveolar film mechanics:  Type II cells secrete surfactant (lamellar bodies)</t>
  </si>
  <si>
    <t>Type II pneumocyte</t>
  </si>
  <si>
    <t>pulmonary alveolar type 2 cell</t>
  </si>
  <si>
    <t>CL:0002063</t>
  </si>
  <si>
    <t>X secretion</t>
  </si>
  <si>
    <t>surfactant</t>
  </si>
  <si>
    <t>mg·h⁻¹</t>
  </si>
  <si>
    <t xml:space="preserve"> Type II cells secrete surfactant (lamellar bodies)</t>
  </si>
  <si>
    <t>GO:0003071</t>
  </si>
  <si>
    <t>Regional ventilation</t>
  </si>
  <si>
    <t xml:space="preserve">Intrapleural pressure gradient:  Weight of lung → base Ppl less negative </t>
  </si>
  <si>
    <t>pleural pressure gradient</t>
  </si>
  <si>
    <t>Intrapleural pressure gradient</t>
  </si>
  <si>
    <t xml:space="preserve"> Weight of lung → base Ppl less negative </t>
  </si>
  <si>
    <t>Ventilation–Perfusion Ratio</t>
  </si>
  <si>
    <t>Gravity + elastic gradient</t>
  </si>
  <si>
    <t>978-1-9751-3918-61</t>
  </si>
  <si>
    <t xml:space="preserve">Intrapleural pressure gradient:  Base on steep P–V slope → ventilates more </t>
  </si>
  <si>
    <t xml:space="preserve"> Base on steep P–V slope → ventilates more </t>
  </si>
  <si>
    <t>Intrapleural pressure gradient:  Apex resting volume large, ΔV small</t>
  </si>
  <si>
    <t>X change</t>
  </si>
  <si>
    <t>volume change</t>
  </si>
  <si>
    <t xml:space="preserve"> Apex resting volume large, ΔV small</t>
  </si>
  <si>
    <t>GO:0003072</t>
  </si>
  <si>
    <t>Airway closure</t>
  </si>
  <si>
    <t>stomatal closure</t>
  </si>
  <si>
    <t>GO:0090332</t>
  </si>
  <si>
    <t xml:space="preserve">Terminal bronchiolar collapse:  Small airways close at low vol → gas trapping </t>
  </si>
  <si>
    <t>Bronchioles</t>
  </si>
  <si>
    <t>bronchus</t>
  </si>
  <si>
    <t>UBERON:0002185</t>
  </si>
  <si>
    <t>Respiratory bronchioles</t>
  </si>
  <si>
    <t>right lung respiratory bronchiole</t>
  </si>
  <si>
    <t>UBERON:0003542</t>
  </si>
  <si>
    <t>X closure</t>
  </si>
  <si>
    <t>airway closure</t>
  </si>
  <si>
    <t>Terminal bronchiolar collapse</t>
  </si>
  <si>
    <t xml:space="preserve"> Small airways close at low vol → gas trapping </t>
  </si>
  <si>
    <t>Closing volume</t>
  </si>
  <si>
    <t>Nitrogen</t>
  </si>
  <si>
    <t>Nitrogen [Presence] in Sweat</t>
  </si>
  <si>
    <t>47712-5</t>
  </si>
  <si>
    <t>Elastic recoil loss → closure</t>
  </si>
  <si>
    <t>978-1-9751-3918-62</t>
  </si>
  <si>
    <t xml:space="preserve">Terminal bronchiolar collapse:  Closure vol ↑ with age &amp; emphysema </t>
  </si>
  <si>
    <t>X volume</t>
  </si>
  <si>
    <t>closure volume</t>
  </si>
  <si>
    <t xml:space="preserve"> Closure vol ↑ with age &amp; emphysema </t>
  </si>
  <si>
    <t>Terminal bronchiolar collapse:  Trapped gas = FRC reduction</t>
  </si>
  <si>
    <t>X lowering Y</t>
  </si>
  <si>
    <t>Trapped gas</t>
  </si>
  <si>
    <t>functional residual capacity</t>
  </si>
  <si>
    <t xml:space="preserve"> Trapped gas = FRC reduction</t>
  </si>
  <si>
    <t>GO:0003073</t>
  </si>
  <si>
    <t>Chest wall elasticity</t>
  </si>
  <si>
    <t>structural molecule activity conferring elasticity</t>
  </si>
  <si>
    <t>GO:0097493</t>
  </si>
  <si>
    <t xml:space="preserve">Lung–chest interaction (FRC):  Lung recoils inward, wall springs out </t>
  </si>
  <si>
    <t xml:space="preserve">Thoracic wall </t>
  </si>
  <si>
    <t>thoracic wall</t>
  </si>
  <si>
    <t>UBERON:0016403</t>
  </si>
  <si>
    <t>lung recoil</t>
  </si>
  <si>
    <t>Lung–chest interaction (FRC)</t>
  </si>
  <si>
    <t xml:space="preserve"> Lung recoils inward, wall springs out </t>
  </si>
  <si>
    <t>Relaxation P–V curve</t>
  </si>
  <si>
    <t>Opposing elastic forces</t>
  </si>
  <si>
    <t>978-1-9751-3918-63</t>
  </si>
  <si>
    <t xml:space="preserve">Lung–chest interaction (FRC):  FRC = balance point (P = 0) </t>
  </si>
  <si>
    <t>balance point of recoil and expansion</t>
  </si>
  <si>
    <t xml:space="preserve"> FRC = balance point (P = 0) </t>
  </si>
  <si>
    <t>Lung–chest interaction (FRC):  CL⁻¹ + CCW⁻¹ = CT⁻¹</t>
  </si>
  <si>
    <t>total compliance</t>
  </si>
  <si>
    <t>reciprocal sum of lung and chest wall compliance</t>
  </si>
  <si>
    <t xml:space="preserve"> CL⁻¹ + CCW⁻¹ = CT⁻¹</t>
  </si>
  <si>
    <t>GO:0003074</t>
  </si>
  <si>
    <t>Respiratory muscle contraction</t>
  </si>
  <si>
    <t>muscle contraction</t>
  </si>
  <si>
    <t>GO:0006936</t>
  </si>
  <si>
    <t>Airway resistance</t>
  </si>
  <si>
    <t>respiratory basal cell differentiation</t>
  </si>
  <si>
    <t>GO:1902691</t>
  </si>
  <si>
    <t xml:space="preserve">Flow through tubes (Poiseuille law):  R = 8ηl / πr⁴ </t>
  </si>
  <si>
    <t>Airways</t>
  </si>
  <si>
    <t>respiratory airway</t>
  </si>
  <si>
    <t>UBERON:0001005</t>
  </si>
  <si>
    <t>Medium bronchi</t>
  </si>
  <si>
    <t>airway resistance</t>
  </si>
  <si>
    <t>viscosity × length / radius⁴</t>
  </si>
  <si>
    <t>cmH₂O·s·L⁻¹</t>
  </si>
  <si>
    <t>Flow through tubes (Poiseuille law)</t>
  </si>
  <si>
    <t xml:space="preserve"> R = 8ηl / πr⁴ </t>
  </si>
  <si>
    <t>Airway Resistance</t>
  </si>
  <si>
    <t>75946-4</t>
  </si>
  <si>
    <t>β₂-agonists ↓R</t>
  </si>
  <si>
    <t xml:space="preserve"> ACh ↑R</t>
  </si>
  <si>
    <t>978-1-9751-3918-64</t>
  </si>
  <si>
    <t xml:space="preserve">Flow through tubes (Poiseuille law):  Laminar → P ∝ flow </t>
  </si>
  <si>
    <t>laminar flow</t>
  </si>
  <si>
    <t xml:space="preserve"> Laminar → P ∝ flow </t>
  </si>
  <si>
    <t>Flow through tubes (Poiseuille law):  Turbulent → P ∝ (flow)²</t>
  </si>
  <si>
    <t>turbulent flow</t>
  </si>
  <si>
    <t xml:space="preserve"> Turbulent → P ∝ (flow)²</t>
  </si>
  <si>
    <t>GO:0003075</t>
  </si>
  <si>
    <t>Dynamic compression</t>
  </si>
  <si>
    <t xml:space="preserve">Flow-limiting mechanism:  Forced exp → Ppl ↑ → airway compressed </t>
  </si>
  <si>
    <t>Intrathoracic airways</t>
  </si>
  <si>
    <t>trachea</t>
  </si>
  <si>
    <t>UBERON:0003126</t>
  </si>
  <si>
    <t>X patency</t>
  </si>
  <si>
    <t>airway patency</t>
  </si>
  <si>
    <t>Flow-limiting mechanism</t>
  </si>
  <si>
    <t xml:space="preserve"> Forced exp → Ppl ↑ → airway compressed </t>
  </si>
  <si>
    <t>Flow-volume curve</t>
  </si>
  <si>
    <t>Starling resistor analogy</t>
  </si>
  <si>
    <t>978-1-9751-3918-65</t>
  </si>
  <si>
    <t xml:space="preserve">Flow-limiting mechanism:  Flow = Palv − Ppl (independent of effort) </t>
  </si>
  <si>
    <t>airflow</t>
  </si>
  <si>
    <t>alveolar pressure − pleural pressure</t>
  </si>
  <si>
    <t xml:space="preserve"> Flow = Palv − Ppl (independent of effort) </t>
  </si>
  <si>
    <t>Flow-limiting mechanism:  Equal pressure point moves distally</t>
  </si>
  <si>
    <t>airway collapse</t>
  </si>
  <si>
    <t xml:space="preserve"> Equal pressure point moves distally</t>
  </si>
  <si>
    <t>GO:0003076</t>
  </si>
  <si>
    <t>Forced expiration test</t>
  </si>
  <si>
    <t xml:space="preserve">Evaluate obstruction / restriction:  FEV₁.₀ = vol in 1 s </t>
  </si>
  <si>
    <t>Airway system</t>
  </si>
  <si>
    <t>forced expiratory volume (FEV₁)</t>
  </si>
  <si>
    <t>volume exhaled in 1 second</t>
  </si>
  <si>
    <t>Evaluate obstruction / restriction</t>
  </si>
  <si>
    <t xml:space="preserve"> FEV₁.₀ = vol in 1 s </t>
  </si>
  <si>
    <t>Forced Expiratory Volume in One Second</t>
  </si>
  <si>
    <t>Forced Vital Capacity</t>
  </si>
  <si>
    <t>Forced vital capacity [Volume] Respiratory system</t>
  </si>
  <si>
    <t>19870-5</t>
  </si>
  <si>
    <t>Effort-independent segment</t>
  </si>
  <si>
    <t>978-1-9751-3918-66</t>
  </si>
  <si>
    <t xml:space="preserve">Evaluate obstruction / restriction:  FVC = total forced exp vol </t>
  </si>
  <si>
    <t>forced vital capacity (FVC)</t>
  </si>
  <si>
    <t>total forced expiratory volume</t>
  </si>
  <si>
    <t xml:space="preserve"> FVC = total forced exp vol </t>
  </si>
  <si>
    <t>Evaluate obstruction / restriction:  FEV₁/FVC ratio → pattern ID</t>
  </si>
  <si>
    <t>X identification</t>
  </si>
  <si>
    <t>pattern identification</t>
  </si>
  <si>
    <t>categorical</t>
  </si>
  <si>
    <t xml:space="preserve"> FEV₁/FVC ratio → pattern ID</t>
  </si>
  <si>
    <t>GO:0003077</t>
  </si>
  <si>
    <t>Uneven ventilation</t>
  </si>
  <si>
    <t xml:space="preserve">Time constant variation (τ = RC):  Units with ↑R or ↓C fill slowly </t>
  </si>
  <si>
    <t>Small airways &amp; parenchyma</t>
  </si>
  <si>
    <t>intra-acinar venule</t>
  </si>
  <si>
    <t>UBERON:8600061</t>
  </si>
  <si>
    <t>filling rate</t>
  </si>
  <si>
    <t>Time constant variation (τ = RC)</t>
  </si>
  <si>
    <t xml:space="preserve"> Units with ↑R or ↓C fill slowly </t>
  </si>
  <si>
    <t>Ventilation distribution tests</t>
  </si>
  <si>
    <t>Frequency-dependent inequality</t>
  </si>
  <si>
    <t>978-1-9751-3918-67</t>
  </si>
  <si>
    <t xml:space="preserve">Time constant variation (τ = RC):  Short TI → less volume </t>
  </si>
  <si>
    <t>tidal volume</t>
  </si>
  <si>
    <t xml:space="preserve"> Short TI → less volume </t>
  </si>
  <si>
    <t>Time constant variation (τ = RC):  Causes nonuniform ventilation</t>
  </si>
  <si>
    <t>X heterogeneity</t>
  </si>
  <si>
    <t xml:space="preserve"> Causes nonuniform ventilation</t>
  </si>
  <si>
    <t>GO:0003078</t>
  </si>
  <si>
    <t>Work of breathing</t>
  </si>
  <si>
    <t xml:space="preserve">Pressure–volume work:  Work = P×V </t>
  </si>
  <si>
    <t>Airway smooth muscle, Lung</t>
  </si>
  <si>
    <t>mechanical work</t>
  </si>
  <si>
    <t>pressure × volume displacement</t>
  </si>
  <si>
    <t>Pressure–volume work</t>
  </si>
  <si>
    <t xml:space="preserve"> Work = P×V </t>
  </si>
  <si>
    <t>P–V loop</t>
  </si>
  <si>
    <t>O₂cost of breathing</t>
  </si>
  <si>
    <t>Breathing pattern adapts to _work</t>
  </si>
  <si>
    <t>978-1-9751-3918-68</t>
  </si>
  <si>
    <t xml:space="preserve">Pressure–volume work:  Elastic work + resistive work </t>
  </si>
  <si>
    <t>X performing Y</t>
  </si>
  <si>
    <t>Respiration</t>
  </si>
  <si>
    <t>elastic and resistive work</t>
  </si>
  <si>
    <t xml:space="preserve"> Elastic work + resistive work </t>
  </si>
  <si>
    <t>Pressure–volume work:  Area on P–V loop = work done</t>
  </si>
  <si>
    <t>area on pressure–volume loop</t>
  </si>
  <si>
    <t>mechanical work done</t>
  </si>
  <si>
    <t xml:space="preserve"> Area on P–V loop = work done</t>
  </si>
  <si>
    <t>GO:0003079</t>
  </si>
  <si>
    <t>Positive pressure ventilation</t>
  </si>
  <si>
    <t xml:space="preserve">Artificial driving pressure:  Raises Pmouth &gt; Palv → insp flow </t>
  </si>
  <si>
    <t>Airway</t>
  </si>
  <si>
    <t>smooth muscle cell of trachea</t>
  </si>
  <si>
    <t>CL:0002600</t>
  </si>
  <si>
    <t>mouth pressure and alveolar pressure difference</t>
  </si>
  <si>
    <t>air</t>
  </si>
  <si>
    <t>Artificial driving pressure</t>
  </si>
  <si>
    <t xml:space="preserve"> Raises Pmouth &gt; Palv → insp flow </t>
  </si>
  <si>
    <t>P–V waveforms</t>
  </si>
  <si>
    <t>Tidal Pressure</t>
  </si>
  <si>
    <t>Same mechanics principles apply</t>
  </si>
  <si>
    <t>978-1-9751-3918-69</t>
  </si>
  <si>
    <t>Artificial driving pressure:  Affected by C and Raw as usual</t>
  </si>
  <si>
    <t>Airway smooth muscle cells, Lung</t>
  </si>
  <si>
    <t>X influence by Y</t>
  </si>
  <si>
    <t xml:space="preserve">Ventilatory work </t>
  </si>
  <si>
    <t>lung compliance and airway resistance</t>
  </si>
  <si>
    <t xml:space="preserve"> Affected by C and Raw as usual</t>
  </si>
  <si>
    <t>GO:0003080</t>
  </si>
  <si>
    <t>Control of Ventilation</t>
  </si>
  <si>
    <t>regulation of respiratory gaseous exchange</t>
  </si>
  <si>
    <t>GO:0043576</t>
  </si>
  <si>
    <t>Neural control</t>
  </si>
  <si>
    <t>regulation of respiratory gaseous exchange by nervous system process</t>
  </si>
  <si>
    <t>GO:0002087</t>
  </si>
  <si>
    <t>Generate respiratory rhythm</t>
  </si>
  <si>
    <t>rhythmic process</t>
  </si>
  <si>
    <t>GO:0048511</t>
  </si>
  <si>
    <t>Central pattern generation in medulla and pons: Pre-Bötzinger complex in the neural network generates breath rhythm</t>
  </si>
  <si>
    <t>Lung, Central nerve</t>
  </si>
  <si>
    <t>Neuronal network (pons/medulla), Lung</t>
  </si>
  <si>
    <t>pons</t>
  </si>
  <si>
    <t>UBERON:0000988</t>
  </si>
  <si>
    <t>X generation</t>
  </si>
  <si>
    <t>breath rhythm</t>
  </si>
  <si>
    <t>breaths·min⁻¹</t>
  </si>
  <si>
    <t>Central pattern generation in medulla and pons</t>
  </si>
  <si>
    <t>Pre-Bötzinger complex in the neural network generates breath rhythm</t>
  </si>
  <si>
    <t>Respiratory rate</t>
  </si>
  <si>
    <t>9279-1</t>
  </si>
  <si>
    <t>rhythm regularity</t>
  </si>
  <si>
    <t>Negative feedback via CO₂ / pH</t>
  </si>
  <si>
    <t>978-1-9751-3918-70</t>
  </si>
  <si>
    <t>Central pattern generation in medulla and pons:  Dorsal group (inspiration)</t>
  </si>
  <si>
    <t>regulates</t>
  </si>
  <si>
    <t xml:space="preserve"> Dorsal group (inspiration)</t>
  </si>
  <si>
    <t>Central pattern generation in medulla and pons:  Ventral group (expiration)</t>
  </si>
  <si>
    <t xml:space="preserve"> Ventral group (expiration)</t>
  </si>
  <si>
    <t>GO:0003081</t>
  </si>
  <si>
    <t>GO:0002088</t>
  </si>
  <si>
    <t>Modulate rhythm duration</t>
  </si>
  <si>
    <t>Pneumotaxic and apneustic centers:  Apneustic: prolongs inspiration</t>
  </si>
  <si>
    <t>Pons, Lung</t>
  </si>
  <si>
    <t>Neural circuits, Lung</t>
  </si>
  <si>
    <t>X prolongation of Y</t>
  </si>
  <si>
    <t>apneustic center</t>
  </si>
  <si>
    <t>inspiration prolongation</t>
  </si>
  <si>
    <t>Pneumotaxic and apneustic centers</t>
  </si>
  <si>
    <t xml:space="preserve"> Apneustic: prolongs inspiration</t>
  </si>
  <si>
    <t>Inspiratory time</t>
  </si>
  <si>
    <t>Inspiratory time percent</t>
  </si>
  <si>
    <t>75932-4</t>
  </si>
  <si>
    <t>frequency</t>
  </si>
  <si>
    <t>Frequency of feeling alone</t>
  </si>
  <si>
    <t>100949-7</t>
  </si>
  <si>
    <t>Reciprocal inhibition to medulla</t>
  </si>
  <si>
    <t>978-1-9751-3918-71</t>
  </si>
  <si>
    <t>Pneumotaxic and apneustic centers:  Pneumotaxic: switches off inspiration</t>
  </si>
  <si>
    <t>X inhibition of Y</t>
  </si>
  <si>
    <t>pneumotaxic center</t>
  </si>
  <si>
    <t>inspiration termination</t>
  </si>
  <si>
    <t xml:space="preserve"> Pneumotaxic: switches off inspiration</t>
  </si>
  <si>
    <t>Pneumotaxic and apneustic centers:  Fine-tunes ramp pattern</t>
  </si>
  <si>
    <t>X adjustment</t>
  </si>
  <si>
    <t>ramp-like inspiratory pattern</t>
  </si>
  <si>
    <t>(L·s⁻¹)/s</t>
  </si>
  <si>
    <t xml:space="preserve"> Fine-tunes ramp pattern</t>
  </si>
  <si>
    <t>GO:0003082</t>
  </si>
  <si>
    <t>GO:0002089</t>
  </si>
  <si>
    <t>Voluntary control of breathing</t>
  </si>
  <si>
    <t>Cortical override of brainstem centers:  Motor cortex signals to spinal respiratory neurons</t>
  </si>
  <si>
    <t>Cortical pyramidal neurons</t>
  </si>
  <si>
    <t>central nervous system neuron</t>
  </si>
  <si>
    <t>CL:2000029</t>
  </si>
  <si>
    <t>X signals to Y</t>
  </si>
  <si>
    <t>motor cortex</t>
  </si>
  <si>
    <t>spinal respiratory neurons</t>
  </si>
  <si>
    <t>Cortical override of brainstem centers</t>
  </si>
  <si>
    <t xml:space="preserve"> Motor cortex signals to spinal respiratory neurons</t>
  </si>
  <si>
    <t>Acidity Level (Hydrogen Ion Concentration)</t>
  </si>
  <si>
    <t>Overrides automatic center</t>
  </si>
  <si>
    <t>978-1-9751-3918-72</t>
  </si>
  <si>
    <t>Cortical override of brainstem centers:  Voluntary hyperventilation ↓ PCO₂, ↑ pH</t>
  </si>
  <si>
    <t>Cerebral cortex, Lung</t>
  </si>
  <si>
    <t>cerebral cortex</t>
  </si>
  <si>
    <t>UBERON:0000956</t>
  </si>
  <si>
    <t>Voluntary control</t>
  </si>
  <si>
    <t>X decrease</t>
  </si>
  <si>
    <t xml:space="preserve">PCO₂ </t>
  </si>
  <si>
    <t xml:space="preserve"> Voluntary hyperventilation ↓ PCO₂, ↑ pH</t>
  </si>
  <si>
    <t>X increase</t>
  </si>
  <si>
    <t>Cortical override of brainstem centers:  Breath-hold limited by rising PCO₂</t>
  </si>
  <si>
    <t xml:space="preserve">Breath-hold </t>
  </si>
  <si>
    <t xml:space="preserve"> Breath-hold limited by rising PCO₂</t>
  </si>
  <si>
    <t>GO:0003083</t>
  </si>
  <si>
    <t>GO:0002090</t>
  </si>
  <si>
    <t>Emotional modulation</t>
  </si>
  <si>
    <t>Limbic &amp; hypothalamic input:  Fear/rage → pattern change</t>
  </si>
  <si>
    <t>Limbic system, hypothalamus, Lung</t>
  </si>
  <si>
    <t>hypothalamus</t>
  </si>
  <si>
    <t>UBERON:0001898</t>
  </si>
  <si>
    <t>Fear/rage</t>
  </si>
  <si>
    <t>breathing pattern change</t>
  </si>
  <si>
    <t>Limbic &amp; hypothalamic input</t>
  </si>
  <si>
    <t xml:space="preserve"> Fear/rage → pattern change</t>
  </si>
  <si>
    <t>Respiratory pattern</t>
  </si>
  <si>
    <t>Central–autonomic link</t>
  </si>
  <si>
    <t>978-1-9751-3918-73</t>
  </si>
  <si>
    <t>Limbic &amp; hypothalamic input:  Pain → apnea → hyperventilation</t>
  </si>
  <si>
    <t>pain</t>
  </si>
  <si>
    <t>X transition to Y</t>
  </si>
  <si>
    <t>apnea</t>
  </si>
  <si>
    <t>hyperventilation</t>
  </si>
  <si>
    <t xml:space="preserve"> Pain → apnea → hyperventilation</t>
  </si>
  <si>
    <t>Limbic &amp; hypothalamic input:  Temperature ↑ → hyperpnea</t>
  </si>
  <si>
    <t>temperature</t>
  </si>
  <si>
    <t>respiration rate</t>
  </si>
  <si>
    <t xml:space="preserve"> Temperature ↑ → hyperpnea</t>
  </si>
  <si>
    <t>GO:0003084</t>
  </si>
  <si>
    <t>GO:0002091</t>
  </si>
  <si>
    <t>Coordinate respiratory muscles</t>
  </si>
  <si>
    <t>respiratory chemosensitivity</t>
  </si>
  <si>
    <t>GO:0160061</t>
  </si>
  <si>
    <t>Brainstem efferent integration:  Diaphragm, intercostals, accessory, upper airway muscles</t>
  </si>
  <si>
    <t>Motor neurons, Lung</t>
  </si>
  <si>
    <t>spinal cord</t>
  </si>
  <si>
    <t>UBERON:0002240</t>
  </si>
  <si>
    <t>Brainstem efferent integration</t>
  </si>
  <si>
    <t xml:space="preserve"> Diaphragm, intercostals, accessory, upper airway muscles</t>
  </si>
  <si>
    <t>Electromyography</t>
  </si>
  <si>
    <t>Electromyography panel</t>
  </si>
  <si>
    <t>98716-4</t>
  </si>
  <si>
    <t>Synchronization with vagal feedback</t>
  </si>
  <si>
    <t>978-1-9751-3918-74</t>
  </si>
  <si>
    <t>Brainstem efferent integration:  Sleep → tone ↓ → obstruction risk</t>
  </si>
  <si>
    <t>sleep</t>
  </si>
  <si>
    <t xml:space="preserve">respiratory muscle tone </t>
  </si>
  <si>
    <t xml:space="preserve"> Sleep → tone ↓ → obstruction risk</t>
  </si>
  <si>
    <t>GO:0003085</t>
  </si>
  <si>
    <t>GO:0002092</t>
  </si>
  <si>
    <t>CO₂ chemoreception</t>
  </si>
  <si>
    <t>Central chemoreceptors: Central chemoreceptors located ventral medulla</t>
  </si>
  <si>
    <t>Ventral medulla, Lung</t>
  </si>
  <si>
    <t>ventral rhombencephalic commissure medulla oblongata</t>
  </si>
  <si>
    <t>UBERON:2000985</t>
  </si>
  <si>
    <t>X sensation from</t>
  </si>
  <si>
    <t>CSF [H⁺] sensation</t>
  </si>
  <si>
    <t>Hz</t>
  </si>
  <si>
    <t>Central chemoreceptors</t>
  </si>
  <si>
    <t>Central chemoreceptors located ventral medulla</t>
  </si>
  <si>
    <t>Blood–brain barrier diffusion</t>
  </si>
  <si>
    <t>978-1-9751-3918-75</t>
  </si>
  <si>
    <t>GO:0003086</t>
  </si>
  <si>
    <t>GO:0002093</t>
  </si>
  <si>
    <t>O₂ and pH sensing</t>
  </si>
  <si>
    <t>quorum sensing</t>
  </si>
  <si>
    <t>GO:0009372</t>
  </si>
  <si>
    <t>Peripheral chemoreceptors: Peripheral chemoreceptors located in carotid/aortic bodies Respond to ↓PO₂, ↑PCO₂, ↓pH</t>
  </si>
  <si>
    <t>Glomus (type I) cells</t>
  </si>
  <si>
    <t>type I cell of carotid body</t>
  </si>
  <si>
    <t>CL:0002292</t>
  </si>
  <si>
    <t>X response</t>
  </si>
  <si>
    <t>peripheral PO₂, PCO₂, pH</t>
  </si>
  <si>
    <t>(L·min⁻¹)/mmHg etc.</t>
  </si>
  <si>
    <t>Peripheral chemoreceptors</t>
  </si>
  <si>
    <t>Peripheral chemoreceptors located in carotid/aortic bodies Respond to ↓PO₂, ↑PCO₂, ↓pH</t>
  </si>
  <si>
    <t>Molecular</t>
  </si>
  <si>
    <t>Hypoxic ventilatory response</t>
  </si>
  <si>
    <t>Potentiation by CO₂</t>
  </si>
  <si>
    <t xml:space="preserve"> H⁺</t>
  </si>
  <si>
    <t>978-1-9751-3918-76</t>
  </si>
  <si>
    <t>Peripheral chemoreceptors:  Glomus cells (dopaminergic) → afferent firing</t>
  </si>
  <si>
    <t>↓PO₂, ↑PCO₂, ↓pH</t>
  </si>
  <si>
    <t>X leads to Y</t>
  </si>
  <si>
    <t>afferent firing</t>
  </si>
  <si>
    <t xml:space="preserve">dopamine </t>
  </si>
  <si>
    <t xml:space="preserve"> Glomus cells (dopaminergic) → afferent firing</t>
  </si>
  <si>
    <t>GO:0003087</t>
  </si>
  <si>
    <t>GO:0002094</t>
  </si>
  <si>
    <t>Airway feedback</t>
  </si>
  <si>
    <t>Pulmonary stretch receptors:  Hering–Breuer reflex: inflation → inhibit inspiration</t>
  </si>
  <si>
    <t>Myelinated vagal afferents, airway epithelial tissue</t>
  </si>
  <si>
    <t>vagal neural crest cell</t>
  </si>
  <si>
    <t>CL:0011017</t>
  </si>
  <si>
    <t>Lung inflation</t>
  </si>
  <si>
    <t>Pulmonary stretch receptors</t>
  </si>
  <si>
    <t xml:space="preserve"> Hering–Breuer reflex: inflation → inhibit inspiration</t>
  </si>
  <si>
    <t>Tidal volume</t>
  </si>
  <si>
    <t>Tidal volume.inspired</t>
  </si>
  <si>
    <t>76221-1</t>
  </si>
  <si>
    <t>Feedback to medullary centers</t>
  </si>
  <si>
    <t>978-1-9751-3918-77</t>
  </si>
  <si>
    <t>Pulmonary stretch receptors:  Deflation → excite inspiration</t>
  </si>
  <si>
    <t>Lung deflation</t>
  </si>
  <si>
    <t xml:space="preserve"> Deflation → excite inspiration</t>
  </si>
  <si>
    <t>GO:0003088</t>
  </si>
  <si>
    <t>GO:0002095</t>
  </si>
  <si>
    <t>Irritant sensing</t>
  </si>
  <si>
    <t>Irritant (rapidly adapting) receptors:  Trigger cough, bronchoconstriction</t>
  </si>
  <si>
    <t>smoke, gas, cold air</t>
  </si>
  <si>
    <t>Irritant receptors activation</t>
  </si>
  <si>
    <t>cough and bronchoconstriction</t>
  </si>
  <si>
    <t>Irritant (rapidly adapting) receptors</t>
  </si>
  <si>
    <t xml:space="preserve"> Trigger cough, bronchoconstriction</t>
  </si>
  <si>
    <t>Cough reflex</t>
  </si>
  <si>
    <t>Histamine-mediated bronchospasm</t>
  </si>
  <si>
    <t>978-1-9751-3918-78</t>
  </si>
  <si>
    <t>GO:0003089</t>
  </si>
  <si>
    <t>GO:0002096</t>
  </si>
  <si>
    <t>Interstitial monitoring</t>
  </si>
  <si>
    <t>interstitial matrix</t>
  </si>
  <si>
    <t>GO:0005614</t>
  </si>
  <si>
    <t>J receptors (juxtacapillary):  In alveolar walls near capillaries</t>
  </si>
  <si>
    <t>C-fibers</t>
  </si>
  <si>
    <t xml:space="preserve">
UBERON:0000114</t>
  </si>
  <si>
    <t>edema/engorgement</t>
  </si>
  <si>
    <t>J receptors</t>
  </si>
  <si>
    <t>rapid shallow breathing</t>
  </si>
  <si>
    <t>breaths·min⁻¹, L</t>
  </si>
  <si>
    <t>J receptors (juxtacapillary)</t>
  </si>
  <si>
    <t xml:space="preserve"> In alveolar walls near capillaries</t>
  </si>
  <si>
    <t>Breathing pattern</t>
  </si>
  <si>
    <t>Breathing patterns</t>
  </si>
  <si>
    <t>101970-2</t>
  </si>
  <si>
    <t>Vagus afferent reflex</t>
  </si>
  <si>
    <t>978-1-9751-3918-79</t>
  </si>
  <si>
    <t>GO:0003090</t>
  </si>
  <si>
    <t>GO:0002097</t>
  </si>
  <si>
    <t>Somatic feedback</t>
  </si>
  <si>
    <t>Muscle &amp; joint receptors:  Movement → stimulate ventilation</t>
  </si>
  <si>
    <t>Muscle spindles</t>
  </si>
  <si>
    <t>skeletal muscle tissue</t>
  </si>
  <si>
    <t>UBERON:0001134</t>
  </si>
  <si>
    <t>movement</t>
  </si>
  <si>
    <t>Muscle &amp; joint receptors</t>
  </si>
  <si>
    <t xml:space="preserve"> Movement → stimulate ventilation</t>
  </si>
  <si>
    <t>Exercise hyperpnea</t>
  </si>
  <si>
    <t>Integration with motor cortex</t>
  </si>
  <si>
    <t>978-1-9751-3918-80</t>
  </si>
  <si>
    <t>Muscle &amp; joint receptors:  Gamma system senses muscle effort</t>
  </si>
  <si>
    <t>movement Muscle effort sensation</t>
  </si>
  <si>
    <t xml:space="preserve">respiratory muscle regulation </t>
  </si>
  <si>
    <t xml:space="preserve"> Gamma system senses muscle effort</t>
  </si>
  <si>
    <t>GO:0003093</t>
  </si>
  <si>
    <t>Sleep modulation</t>
  </si>
  <si>
    <t>GO:0030431</t>
  </si>
  <si>
    <t>Ventilatory control during sleep: voluntary control of breathing is lost during sleep</t>
  </si>
  <si>
    <t>Medulla oblongata, pons, Lung</t>
  </si>
  <si>
    <t>brainstem</t>
  </si>
  <si>
    <t>UBERON:0002298</t>
  </si>
  <si>
    <t>breathing</t>
  </si>
  <si>
    <t>Ventilatory control during sleep</t>
  </si>
  <si>
    <t>voluntary control of breathing is lost during sleep</t>
  </si>
  <si>
    <t>Sleep study</t>
  </si>
  <si>
    <t>CO₂ response</t>
  </si>
  <si>
    <t>Reticular–hypothalamic drive loss</t>
  </si>
  <si>
    <t>978-1-9751-3918-83</t>
  </si>
  <si>
    <t>Ventilatory control during sleep:  ↓ chemoreceptor sensitivity</t>
  </si>
  <si>
    <t>Chemosensitive neurons, Lung</t>
  </si>
  <si>
    <t>aortic body</t>
  </si>
  <si>
    <t>UBERON:0034971</t>
  </si>
  <si>
    <t>chemoreceptor sensitivity</t>
  </si>
  <si>
    <t>respiration</t>
  </si>
  <si>
    <t>L·min⁻¹·mmHg⁻¹</t>
  </si>
  <si>
    <t xml:space="preserve"> ↓ chemoreceptor sensitivity</t>
  </si>
  <si>
    <t>Ventilatory control during sleep:  ↓ upper airway tone</t>
  </si>
  <si>
    <t>smooth muscle cell of trachea, Lung,</t>
  </si>
  <si>
    <t>upper lobe of lung</t>
  </si>
  <si>
    <t>UBERON:0008948</t>
  </si>
  <si>
    <t>upper airway tone</t>
  </si>
  <si>
    <t xml:space="preserve"> ↓ upper airway tone</t>
  </si>
  <si>
    <t>GO:0003094</t>
  </si>
  <si>
    <t>Abnormal rhythmicity</t>
  </si>
  <si>
    <t>Cheyne–Stokes and periodic breathing:  Feedback delay → oscillatory control</t>
  </si>
  <si>
    <t>Ventral medulla chemoreceptor neurons, Lung</t>
  </si>
  <si>
    <t>pre-Botzinger complex</t>
  </si>
  <si>
    <t>UBERON:0006007</t>
  </si>
  <si>
    <t>feedback delay</t>
  </si>
  <si>
    <t>oscillatory breathing</t>
  </si>
  <si>
    <t>Cheyne–Stokes and periodic breathing</t>
  </si>
  <si>
    <t xml:space="preserve"> Feedback delay → oscillatory control</t>
  </si>
  <si>
    <t>Polysomnography pattern</t>
  </si>
  <si>
    <t>Loop gain of ventilatory control</t>
  </si>
  <si>
    <t>978-1-9751-3918-84</t>
  </si>
  <si>
    <t>Cheyne–Stokes and periodic breathing:  Apnea ↔ hyperpnea cycles</t>
  </si>
  <si>
    <t>X cycling with Y</t>
  </si>
  <si>
    <t>hyperpnea cycles</t>
  </si>
  <si>
    <t xml:space="preserve"> Apnea ↔ hyperpnea cycles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</si>
</sst>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rgb="FF000000"/>
      <name val="Arial"/>
    </font>
    <font>
      <sz val="10.0"/>
      <color rgb="FF000000"/>
      <name val="Arial"/>
    </font>
    <font>
      <color theme="1"/>
      <name val="Arial"/>
      <scheme val="minor"/>
    </font>
    <font>
      <color theme="1"/>
      <name val="Arial"/>
    </font>
    <font/>
    <font>
      <b/>
      <sz val="10.0"/>
      <color theme="1"/>
      <name val="Arial"/>
    </font>
    <font>
      <b/>
      <sz val="12.0"/>
      <color theme="1"/>
      <name val="Arial"/>
    </font>
    <font>
      <sz val="10.0"/>
      <color theme="1"/>
      <name val="Arial"/>
    </font>
    <font>
      <sz val="10.0"/>
      <color theme="5"/>
      <name val="Arial"/>
    </font>
    <font>
      <color rgb="FF000000"/>
      <name val="Arial"/>
      <scheme val="minor"/>
    </font>
  </fonts>
  <fills count="9">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FEF1CC"/>
        <bgColor rgb="FFFEF1CC"/>
      </patternFill>
    </fill>
    <fill>
      <patternFill patternType="solid">
        <fgColor rgb="FFD9F1F3"/>
        <bgColor rgb="FFD9F1F3"/>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right/>
      <top/>
      <bottom style="thin">
        <color rgb="FF000000"/>
      </bottom>
    </border>
    <border>
      <left/>
      <right/>
      <top/>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left"/>
    </xf>
    <xf borderId="0" fillId="0" fontId="3" numFmtId="0" xfId="0" applyFont="1"/>
    <xf borderId="0" fillId="0" fontId="2" numFmtId="0" xfId="0" applyAlignment="1" applyFont="1">
      <alignment horizontal="left" readingOrder="0"/>
    </xf>
    <xf borderId="0" fillId="0" fontId="4" numFmtId="0" xfId="0" applyAlignment="1" applyFont="1">
      <alignment vertical="bottom"/>
    </xf>
    <xf borderId="0" fillId="0" fontId="2" numFmtId="0" xfId="0" applyAlignment="1" applyFont="1">
      <alignment readingOrder="0"/>
    </xf>
    <xf borderId="0" fillId="0" fontId="2" numFmtId="14" xfId="0" applyAlignment="1" applyFont="1" applyNumberFormat="1">
      <alignment horizontal="left"/>
    </xf>
    <xf borderId="1" fillId="2" fontId="2" numFmtId="0" xfId="0" applyAlignment="1" applyBorder="1" applyFill="1" applyFont="1">
      <alignment horizontal="left" vertical="top"/>
    </xf>
    <xf borderId="2" fillId="0" fontId="5" numFmtId="0" xfId="0" applyBorder="1" applyFont="1"/>
    <xf borderId="3" fillId="0" fontId="5" numFmtId="0" xfId="0" applyBorder="1" applyFont="1"/>
    <xf borderId="1" fillId="3" fontId="2" numFmtId="0" xfId="0" applyAlignment="1" applyBorder="1" applyFill="1" applyFont="1">
      <alignment horizontal="center" shrinkToFit="0" vertical="top" wrapText="1"/>
    </xf>
    <xf borderId="4" fillId="0" fontId="5" numFmtId="0" xfId="0" applyBorder="1" applyFont="1"/>
    <xf borderId="5" fillId="3" fontId="2" numFmtId="0" xfId="0" applyAlignment="1" applyBorder="1" applyFont="1">
      <alignment vertical="top"/>
    </xf>
    <xf borderId="5" fillId="4" fontId="2" numFmtId="0" xfId="0" applyAlignment="1" applyBorder="1" applyFill="1" applyFont="1">
      <alignment horizontal="left" shrinkToFit="0" vertical="top" wrapText="1"/>
    </xf>
    <xf borderId="5" fillId="4" fontId="2" numFmtId="0" xfId="0" applyAlignment="1" applyBorder="1" applyFont="1">
      <alignment horizontal="left" vertical="top"/>
    </xf>
    <xf borderId="1" fillId="5" fontId="2" numFmtId="0" xfId="0" applyAlignment="1" applyBorder="1" applyFill="1" applyFont="1">
      <alignment horizontal="left" vertical="top"/>
    </xf>
    <xf borderId="1" fillId="6" fontId="2" numFmtId="0" xfId="0" applyAlignment="1" applyBorder="1" applyFill="1" applyFont="1">
      <alignment horizontal="left" vertical="top"/>
    </xf>
    <xf borderId="1" fillId="7" fontId="2" numFmtId="0" xfId="0" applyAlignment="1" applyBorder="1" applyFill="1" applyFont="1">
      <alignment horizontal="left" vertical="top"/>
    </xf>
    <xf borderId="6" fillId="2" fontId="1" numFmtId="0" xfId="0" applyBorder="1" applyFont="1"/>
    <xf borderId="7" fillId="2" fontId="1" numFmtId="0" xfId="0" applyBorder="1" applyFont="1"/>
    <xf borderId="6" fillId="3" fontId="6" numFmtId="0" xfId="0" applyBorder="1" applyFont="1"/>
    <xf borderId="5" fillId="3" fontId="1" numFmtId="0" xfId="0" applyAlignment="1" applyBorder="1" applyFont="1">
      <alignment shrinkToFit="0" vertical="top" wrapText="1"/>
    </xf>
    <xf borderId="8" fillId="3" fontId="1" numFmtId="0" xfId="0" applyAlignment="1" applyBorder="1" applyFont="1">
      <alignment shrinkToFit="0" vertical="top" wrapText="1"/>
    </xf>
    <xf borderId="6" fillId="3" fontId="1" numFmtId="0" xfId="0" applyBorder="1" applyFont="1"/>
    <xf borderId="7" fillId="3" fontId="1" numFmtId="0" xfId="0" applyBorder="1" applyFont="1"/>
    <xf borderId="5" fillId="3" fontId="1" numFmtId="0" xfId="0" applyAlignment="1" applyBorder="1" applyFont="1">
      <alignment vertical="top"/>
    </xf>
    <xf borderId="6" fillId="4" fontId="1" numFmtId="0" xfId="0" applyBorder="1" applyFont="1"/>
    <xf borderId="6" fillId="5" fontId="1" numFmtId="0" xfId="0" applyBorder="1" applyFont="1"/>
    <xf borderId="7" fillId="5" fontId="1" numFmtId="0" xfId="0" applyBorder="1" applyFont="1"/>
    <xf borderId="9" fillId="5" fontId="1" numFmtId="0" xfId="0" applyBorder="1" applyFont="1"/>
    <xf borderId="6" fillId="6" fontId="1" numFmtId="0" xfId="0" applyBorder="1" applyFont="1"/>
    <xf borderId="7" fillId="6" fontId="1" numFmtId="0" xfId="0" applyBorder="1" applyFont="1"/>
    <xf borderId="6" fillId="7" fontId="1" numFmtId="0" xfId="0" applyBorder="1" applyFont="1"/>
    <xf borderId="7" fillId="7" fontId="1" numFmtId="0" xfId="0" applyBorder="1" applyFont="1"/>
    <xf borderId="0" fillId="0" fontId="7" numFmtId="0" xfId="0" applyFont="1"/>
    <xf borderId="0" fillId="0" fontId="8" numFmtId="0" xfId="0" applyFont="1"/>
    <xf borderId="10" fillId="0" fontId="2" numFmtId="0" xfId="0" applyBorder="1" applyFont="1"/>
    <xf borderId="0" fillId="0" fontId="9" numFmtId="0" xfId="0" applyFont="1"/>
    <xf borderId="10" fillId="2" fontId="2" numFmtId="0" xfId="0" applyBorder="1" applyFont="1"/>
    <xf borderId="10" fillId="8" fontId="2" numFmtId="0" xfId="0" applyBorder="1" applyFill="1" applyFont="1"/>
    <xf borderId="0" fillId="0" fontId="2" numFmtId="0" xfId="0" applyAlignment="1" applyFont="1">
      <alignment shrinkToFit="0" wrapText="1"/>
    </xf>
    <xf borderId="0" fillId="0" fontId="2" numFmtId="0" xfId="0" applyAlignment="1" applyFont="1">
      <alignment horizontal="right"/>
    </xf>
    <xf borderId="0" fillId="0" fontId="3" numFmtId="0" xfId="0" applyAlignment="1" applyFont="1">
      <alignment readingOrder="0"/>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0"/>
    <col customWidth="1" min="2" max="2" width="21.0"/>
    <col customWidth="1" min="3" max="3" width="11.5"/>
    <col customWidth="1" min="4" max="4" width="29.13"/>
    <col customWidth="1" min="5" max="5" width="18.63"/>
    <col customWidth="1" min="6" max="6" width="11.5"/>
    <col customWidth="1" min="7" max="7" width="24.0"/>
    <col customWidth="1" min="8" max="8" width="15.5"/>
    <col customWidth="1" min="9" max="9" width="11.5"/>
    <col customWidth="1" min="10" max="10" width="35.5"/>
    <col customWidth="1" min="11" max="11" width="15.5"/>
    <col customWidth="1" min="12" max="12" width="11.5"/>
    <col customWidth="1" min="13" max="13" width="20.63"/>
    <col customWidth="1" min="14" max="14" width="15.5"/>
    <col customWidth="1" min="15" max="15" width="11.5"/>
    <col customWidth="1" min="16" max="16" width="9.38"/>
    <col customWidth="1" min="17" max="17" width="15.5"/>
    <col customWidth="1" min="18" max="18" width="11.5"/>
    <col customWidth="1" min="19" max="19" width="9.38"/>
    <col customWidth="1" min="20" max="20" width="15.5"/>
    <col customWidth="1" min="21" max="21" width="11.5"/>
    <col customWidth="1" min="22" max="22" width="9.38"/>
    <col customWidth="1" min="23" max="23" width="15.5"/>
    <col customWidth="1" min="24" max="24" width="11.5"/>
    <col customWidth="1" min="25" max="25" width="47.63"/>
    <col customWidth="1" min="26" max="26" width="117.13"/>
    <col customWidth="1" min="27" max="27" width="16.63"/>
    <col customWidth="1" min="28" max="29" width="14.5"/>
    <col customWidth="1" min="30" max="30" width="19.38"/>
    <col customWidth="1" min="31" max="31" width="30.5"/>
    <col customWidth="1" min="32" max="32" width="27.38"/>
    <col customWidth="1" min="33" max="33" width="13.5"/>
    <col customWidth="1" min="34" max="34" width="32.88"/>
    <col customWidth="1" min="35" max="35" width="13.38"/>
    <col customWidth="1" min="36" max="36" width="20.38"/>
    <col customWidth="1" min="37" max="37" width="35.13"/>
    <col customWidth="1" min="38" max="38" width="21.88"/>
    <col customWidth="1" min="39" max="39" width="32.0"/>
    <col customWidth="1" min="40" max="40" width="38.0"/>
    <col customWidth="1" min="41" max="41" width="56.13"/>
    <col customWidth="1" min="42" max="42" width="33.63"/>
    <col customWidth="1" min="43" max="43" width="33.0"/>
    <col customWidth="1" min="44" max="44" width="32.88"/>
    <col customWidth="1" min="45" max="45" width="16.13"/>
    <col customWidth="1" min="46" max="46" width="57.38"/>
    <col customWidth="1" min="47" max="47" width="17.13"/>
    <col customWidth="1" min="48" max="48" width="27.38"/>
    <col customWidth="1" min="49" max="49" width="21.13"/>
    <col customWidth="1" min="50" max="50" width="17.13"/>
    <col customWidth="1" min="51" max="51" width="19.13"/>
    <col customWidth="1" min="52" max="52" width="21.13"/>
    <col customWidth="1" min="53" max="53" width="17.13"/>
    <col customWidth="1" min="54" max="54" width="15.13"/>
    <col customWidth="1" min="55" max="55" width="21.13"/>
    <col customWidth="1" min="56" max="56" width="17.13"/>
    <col customWidth="1" min="57" max="57" width="25.63"/>
    <col customWidth="1" min="58" max="58" width="16.88"/>
    <col customWidth="1" min="59" max="59" width="13.0"/>
    <col customWidth="1" min="60" max="60" width="24.88"/>
    <col customWidth="1" min="61" max="61" width="16.88"/>
    <col customWidth="1" min="62" max="62" width="13.0"/>
    <col customWidth="1" min="63" max="63" width="10.88"/>
    <col customWidth="1" min="64" max="64" width="16.88"/>
    <col customWidth="1" min="65" max="65" width="13.0"/>
    <col customWidth="1" min="66" max="66" width="10.88"/>
    <col customWidth="1" min="67" max="67" width="16.88"/>
    <col customWidth="1" min="68" max="68" width="13.0"/>
    <col customWidth="1" min="69" max="69" width="20.63"/>
    <col customWidth="1" min="70" max="70" width="23.0"/>
    <col customWidth="1" min="71" max="71" width="16.0"/>
    <col customWidth="1" min="72" max="72" width="15.38"/>
    <col customWidth="1" min="73" max="73" width="5.63"/>
    <col customWidth="1" min="74" max="74" width="7.88"/>
    <col customWidth="1" min="75" max="75" width="14.13"/>
    <col customWidth="1" min="76" max="76" width="11.88"/>
    <col customWidth="1" min="77" max="77" width="5.63"/>
    <col customWidth="1" min="78" max="78" width="7.88"/>
    <col customWidth="1" min="79" max="79" width="14.13"/>
    <col customWidth="1" min="80" max="81" width="11.88"/>
  </cols>
  <sheetData>
    <row r="1" ht="15.75" customHeight="1">
      <c r="A1" s="1" t="s">
        <v>0</v>
      </c>
      <c r="C1" s="1"/>
      <c r="D1" s="2"/>
      <c r="E1" s="2"/>
      <c r="F1" s="2"/>
      <c r="G1" s="2"/>
      <c r="H1" s="2"/>
      <c r="I1" s="2"/>
      <c r="J1" s="2"/>
      <c r="K1" s="2"/>
      <c r="L1" s="2"/>
      <c r="M1" s="2"/>
      <c r="N1" s="2"/>
      <c r="O1" s="2"/>
      <c r="P1" s="2"/>
      <c r="Q1" s="2"/>
      <c r="R1" s="2"/>
      <c r="S1" s="2"/>
      <c r="T1" s="2"/>
      <c r="U1" s="2"/>
      <c r="V1" s="2"/>
      <c r="W1" s="2"/>
      <c r="X1" s="2"/>
      <c r="Y1" s="2"/>
      <c r="AJ1" s="2"/>
      <c r="AN1" s="2"/>
      <c r="AO1" s="2"/>
      <c r="AP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row>
    <row r="2" ht="15.75" customHeight="1">
      <c r="A2" s="1"/>
      <c r="B2" s="3"/>
      <c r="C2" s="2"/>
      <c r="D2" s="2"/>
      <c r="E2" s="2"/>
      <c r="F2" s="2"/>
      <c r="G2" s="2"/>
      <c r="H2" s="2"/>
      <c r="I2" s="2"/>
      <c r="J2" s="2"/>
      <c r="K2" s="2"/>
      <c r="L2" s="2"/>
      <c r="M2" s="2"/>
      <c r="N2" s="2"/>
      <c r="O2" s="2"/>
      <c r="P2" s="2"/>
      <c r="Q2" s="2"/>
      <c r="R2" s="2"/>
      <c r="S2" s="2"/>
      <c r="T2" s="2"/>
      <c r="U2" s="2"/>
      <c r="V2" s="2"/>
      <c r="W2" s="2"/>
      <c r="X2" s="2"/>
      <c r="Y2" s="2"/>
      <c r="AJ2" s="2"/>
      <c r="AN2" s="2"/>
      <c r="AO2" s="2"/>
      <c r="AP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row>
    <row r="3" ht="15.75" customHeight="1">
      <c r="A3" s="1" t="s">
        <v>1</v>
      </c>
      <c r="B3" s="3" t="s">
        <v>2</v>
      </c>
      <c r="C3" s="2"/>
      <c r="D3" s="2"/>
      <c r="E3" s="2"/>
      <c r="F3" s="2"/>
      <c r="G3" s="2"/>
      <c r="H3" s="2"/>
      <c r="I3" s="2"/>
      <c r="J3" s="2"/>
      <c r="K3" s="2"/>
      <c r="L3" s="2"/>
      <c r="M3" s="2"/>
      <c r="N3" s="2"/>
      <c r="O3" s="2"/>
      <c r="P3" s="2"/>
      <c r="Q3" s="2"/>
      <c r="R3" s="2"/>
      <c r="S3" s="2"/>
      <c r="T3" s="2"/>
      <c r="U3" s="2"/>
      <c r="V3" s="2"/>
      <c r="W3" s="2"/>
      <c r="X3" s="2"/>
      <c r="Y3" s="2"/>
      <c r="AJ3" s="2"/>
      <c r="AN3" s="2"/>
      <c r="AO3" s="2"/>
      <c r="AP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row>
    <row r="4" ht="15.75" customHeight="1">
      <c r="A4" s="1" t="s">
        <v>3</v>
      </c>
      <c r="B4" s="4" t="s">
        <v>4</v>
      </c>
      <c r="C4" s="2"/>
      <c r="D4" s="2"/>
      <c r="E4" s="2"/>
      <c r="F4" s="2"/>
      <c r="G4" s="2"/>
      <c r="H4" s="2"/>
      <c r="I4" s="2"/>
      <c r="J4" s="2"/>
      <c r="K4" s="2"/>
      <c r="L4" s="2"/>
      <c r="M4" s="2"/>
      <c r="N4" s="2"/>
      <c r="O4" s="2"/>
      <c r="P4" s="2"/>
      <c r="Q4" s="2"/>
      <c r="R4" s="2"/>
      <c r="S4" s="2"/>
      <c r="T4" s="2"/>
      <c r="U4" s="2"/>
      <c r="V4" s="2"/>
      <c r="W4" s="2"/>
      <c r="X4" s="2"/>
      <c r="Y4" s="2"/>
      <c r="AJ4" s="2"/>
      <c r="AN4" s="2"/>
      <c r="AO4" s="2"/>
      <c r="AP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row>
    <row r="5" ht="15.75" customHeight="1">
      <c r="A5" s="1" t="s">
        <v>5</v>
      </c>
      <c r="B5" s="5" t="s">
        <v>6</v>
      </c>
      <c r="C5" s="6" t="s">
        <v>7</v>
      </c>
      <c r="D5" s="2"/>
      <c r="E5" s="2"/>
      <c r="F5" s="2"/>
      <c r="G5" s="2"/>
      <c r="H5" s="2"/>
      <c r="I5" s="2"/>
      <c r="J5" s="2"/>
      <c r="K5" s="2"/>
      <c r="L5" s="2"/>
      <c r="M5" s="2"/>
      <c r="N5" s="2"/>
      <c r="O5" s="2"/>
      <c r="P5" s="2"/>
      <c r="Q5" s="2"/>
      <c r="R5" s="2"/>
      <c r="S5" s="2"/>
      <c r="T5" s="2"/>
      <c r="U5" s="2"/>
      <c r="V5" s="2"/>
      <c r="W5" s="2"/>
      <c r="X5" s="2"/>
      <c r="Y5" s="2"/>
      <c r="AJ5" s="2"/>
      <c r="AN5" s="2"/>
      <c r="AO5" s="2"/>
      <c r="AP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row>
    <row r="6" ht="15.75" customHeight="1">
      <c r="A6" s="1" t="s">
        <v>8</v>
      </c>
      <c r="B6" s="7" t="s">
        <v>9</v>
      </c>
      <c r="C6" s="6" t="s">
        <v>10</v>
      </c>
      <c r="D6" s="2"/>
      <c r="E6" s="2"/>
      <c r="F6" s="2"/>
      <c r="G6" s="2"/>
      <c r="H6" s="2"/>
      <c r="I6" s="2"/>
      <c r="J6" s="2"/>
      <c r="K6" s="2"/>
      <c r="L6" s="2"/>
      <c r="M6" s="2"/>
      <c r="N6" s="2"/>
      <c r="O6" s="2"/>
      <c r="P6" s="2"/>
      <c r="Q6" s="2"/>
      <c r="R6" s="2"/>
      <c r="S6" s="2"/>
      <c r="T6" s="2"/>
      <c r="U6" s="2"/>
      <c r="V6" s="2"/>
      <c r="W6" s="2"/>
      <c r="X6" s="2"/>
      <c r="Y6" s="2"/>
      <c r="AJ6" s="2"/>
      <c r="AN6" s="2"/>
      <c r="AO6" s="2"/>
      <c r="AP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row>
    <row r="7" ht="15.75" customHeight="1">
      <c r="A7" s="1" t="s">
        <v>11</v>
      </c>
      <c r="B7" s="2" t="s">
        <v>12</v>
      </c>
      <c r="E7" s="2"/>
      <c r="F7" s="2"/>
      <c r="G7" s="2"/>
      <c r="H7" s="2"/>
      <c r="I7" s="2"/>
      <c r="J7" s="2"/>
      <c r="K7" s="2"/>
      <c r="L7" s="2"/>
      <c r="M7" s="2"/>
      <c r="N7" s="2"/>
      <c r="O7" s="2"/>
      <c r="P7" s="2"/>
      <c r="Q7" s="2"/>
      <c r="R7" s="2"/>
      <c r="S7" s="2"/>
      <c r="T7" s="2"/>
      <c r="U7" s="2"/>
      <c r="V7" s="2"/>
      <c r="W7" s="2"/>
      <c r="X7" s="2"/>
      <c r="Y7" s="2"/>
      <c r="AJ7" s="2"/>
      <c r="AN7" s="2"/>
      <c r="AO7" s="2"/>
      <c r="AP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row>
    <row r="8" ht="15.75" customHeight="1">
      <c r="A8" s="1" t="s">
        <v>13</v>
      </c>
      <c r="B8" s="8"/>
      <c r="C8" s="2"/>
      <c r="D8" s="2"/>
      <c r="E8" s="2"/>
      <c r="F8" s="2"/>
      <c r="G8" s="2"/>
      <c r="H8" s="2"/>
      <c r="I8" s="2"/>
      <c r="J8" s="2"/>
      <c r="K8" s="2"/>
      <c r="L8" s="2"/>
      <c r="M8" s="2"/>
      <c r="N8" s="2"/>
      <c r="O8" s="2"/>
      <c r="P8" s="2"/>
      <c r="Q8" s="2"/>
      <c r="R8" s="2"/>
      <c r="S8" s="2"/>
      <c r="T8" s="2"/>
      <c r="U8" s="2"/>
      <c r="V8" s="2"/>
      <c r="W8" s="2"/>
      <c r="X8" s="2"/>
      <c r="Y8" s="2"/>
      <c r="AJ8" s="2"/>
      <c r="AN8" s="2"/>
      <c r="AO8" s="2"/>
      <c r="AP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row>
    <row r="9" ht="15.75" customHeight="1">
      <c r="A9" s="1" t="s">
        <v>14</v>
      </c>
      <c r="B9" s="8">
        <v>45958.0</v>
      </c>
      <c r="C9" s="2"/>
      <c r="D9" s="2"/>
      <c r="E9" s="2"/>
      <c r="F9" s="2"/>
      <c r="G9" s="2"/>
      <c r="H9" s="2"/>
      <c r="I9" s="2"/>
      <c r="J9" s="2"/>
      <c r="K9" s="2"/>
      <c r="L9" s="2"/>
      <c r="M9" s="2"/>
      <c r="N9" s="2"/>
      <c r="O9" s="2"/>
      <c r="P9" s="2"/>
      <c r="Q9" s="2"/>
      <c r="R9" s="2"/>
      <c r="S9" s="2"/>
      <c r="T9" s="2"/>
      <c r="U9" s="2"/>
      <c r="V9" s="2"/>
      <c r="W9" s="2"/>
      <c r="X9" s="2"/>
      <c r="Y9" s="2"/>
      <c r="AJ9" s="2"/>
      <c r="AN9" s="2"/>
      <c r="AO9" s="2"/>
      <c r="AP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row>
    <row r="10" ht="15.75" customHeight="1">
      <c r="A10" s="1" t="s">
        <v>15</v>
      </c>
      <c r="B10" s="3" t="s">
        <v>16</v>
      </c>
      <c r="C10" s="2"/>
      <c r="D10" s="2"/>
      <c r="E10" s="2"/>
      <c r="F10" s="2"/>
      <c r="G10" s="2"/>
      <c r="H10" s="2"/>
      <c r="I10" s="2"/>
      <c r="J10" s="2"/>
      <c r="K10" s="2"/>
      <c r="L10" s="2"/>
      <c r="M10" s="2"/>
      <c r="N10" s="2"/>
      <c r="O10" s="2"/>
      <c r="P10" s="2"/>
      <c r="Q10" s="2"/>
      <c r="R10" s="2"/>
      <c r="S10" s="2"/>
      <c r="T10" s="2"/>
      <c r="U10" s="2"/>
      <c r="V10" s="2"/>
      <c r="W10" s="2"/>
      <c r="X10" s="2"/>
      <c r="Y10" s="2"/>
      <c r="AJ10" s="2"/>
      <c r="AN10" s="2"/>
      <c r="AO10" s="2"/>
      <c r="AP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row>
    <row r="11" ht="38.25" customHeight="1">
      <c r="A11" s="9" t="s">
        <v>17</v>
      </c>
      <c r="B11" s="10"/>
      <c r="C11" s="10"/>
      <c r="D11" s="10"/>
      <c r="E11" s="10"/>
      <c r="F11" s="10"/>
      <c r="G11" s="10"/>
      <c r="H11" s="10"/>
      <c r="I11" s="10"/>
      <c r="J11" s="10"/>
      <c r="K11" s="10"/>
      <c r="L11" s="10"/>
      <c r="M11" s="10"/>
      <c r="N11" s="10"/>
      <c r="O11" s="10"/>
      <c r="P11" s="10"/>
      <c r="Q11" s="10"/>
      <c r="R11" s="10"/>
      <c r="S11" s="10"/>
      <c r="T11" s="10"/>
      <c r="U11" s="10"/>
      <c r="V11" s="10"/>
      <c r="W11" s="10"/>
      <c r="X11" s="10"/>
      <c r="Y11" s="11"/>
      <c r="Z11" s="12" t="s">
        <v>18</v>
      </c>
      <c r="AA11" s="10"/>
      <c r="AB11" s="10"/>
      <c r="AC11" s="10"/>
      <c r="AD11" s="10"/>
      <c r="AE11" s="10"/>
      <c r="AF11" s="10"/>
      <c r="AG11" s="10"/>
      <c r="AH11" s="10"/>
      <c r="AI11" s="10"/>
      <c r="AJ11" s="10"/>
      <c r="AK11" s="10"/>
      <c r="AL11" s="10"/>
      <c r="AM11" s="13"/>
      <c r="AN11" s="14" t="s">
        <v>19</v>
      </c>
      <c r="AO11" s="14"/>
      <c r="AP11" s="14"/>
      <c r="AQ11" s="15" t="s">
        <v>20</v>
      </c>
      <c r="AR11" s="15" t="s">
        <v>20</v>
      </c>
      <c r="AS11" s="16" t="s">
        <v>21</v>
      </c>
      <c r="AT11" s="17" t="s">
        <v>22</v>
      </c>
      <c r="AU11" s="10"/>
      <c r="AV11" s="10"/>
      <c r="AW11" s="10"/>
      <c r="AX11" s="10"/>
      <c r="AY11" s="10"/>
      <c r="AZ11" s="10"/>
      <c r="BA11" s="10"/>
      <c r="BB11" s="10"/>
      <c r="BC11" s="10"/>
      <c r="BD11" s="10"/>
      <c r="BE11" s="11"/>
      <c r="BF11" s="18" t="s">
        <v>23</v>
      </c>
      <c r="BG11" s="10"/>
      <c r="BH11" s="10"/>
      <c r="BI11" s="10"/>
      <c r="BJ11" s="10"/>
      <c r="BK11" s="10"/>
      <c r="BL11" s="10"/>
      <c r="BM11" s="10"/>
      <c r="BN11" s="10"/>
      <c r="BO11" s="10"/>
      <c r="BP11" s="10"/>
      <c r="BQ11" s="11"/>
      <c r="BR11" s="19" t="s">
        <v>24</v>
      </c>
      <c r="BS11" s="10"/>
      <c r="BT11" s="10"/>
      <c r="BU11" s="10"/>
      <c r="BV11" s="10"/>
      <c r="BW11" s="10"/>
      <c r="BX11" s="10"/>
      <c r="BY11" s="10"/>
      <c r="BZ11" s="10"/>
      <c r="CA11" s="10"/>
      <c r="CB11" s="10"/>
      <c r="CC11" s="13"/>
    </row>
    <row r="12" ht="15.75" customHeight="1">
      <c r="A12" s="20" t="s">
        <v>25</v>
      </c>
      <c r="B12" s="21" t="s">
        <v>26</v>
      </c>
      <c r="C12" s="21" t="s">
        <v>27</v>
      </c>
      <c r="D12" s="21" t="s">
        <v>28</v>
      </c>
      <c r="E12" s="21" t="s">
        <v>29</v>
      </c>
      <c r="F12" s="21" t="s">
        <v>30</v>
      </c>
      <c r="G12" s="21" t="s">
        <v>31</v>
      </c>
      <c r="H12" s="21" t="s">
        <v>32</v>
      </c>
      <c r="I12" s="21" t="s">
        <v>33</v>
      </c>
      <c r="J12" s="21" t="s">
        <v>34</v>
      </c>
      <c r="K12" s="21" t="s">
        <v>35</v>
      </c>
      <c r="L12" s="21" t="s">
        <v>36</v>
      </c>
      <c r="M12" s="21" t="s">
        <v>37</v>
      </c>
      <c r="N12" s="21" t="s">
        <v>38</v>
      </c>
      <c r="O12" s="21" t="s">
        <v>39</v>
      </c>
      <c r="P12" s="21" t="s">
        <v>40</v>
      </c>
      <c r="Q12" s="21" t="s">
        <v>41</v>
      </c>
      <c r="R12" s="21" t="s">
        <v>42</v>
      </c>
      <c r="S12" s="21" t="s">
        <v>43</v>
      </c>
      <c r="T12" s="21" t="s">
        <v>44</v>
      </c>
      <c r="U12" s="21" t="s">
        <v>45</v>
      </c>
      <c r="V12" s="21" t="s">
        <v>46</v>
      </c>
      <c r="W12" s="21" t="s">
        <v>47</v>
      </c>
      <c r="X12" s="21" t="s">
        <v>48</v>
      </c>
      <c r="Y12" s="21" t="s">
        <v>49</v>
      </c>
      <c r="Z12" s="22" t="s">
        <v>50</v>
      </c>
      <c r="AA12" s="23" t="s">
        <v>51</v>
      </c>
      <c r="AB12" s="23" t="s">
        <v>52</v>
      </c>
      <c r="AC12" s="23" t="s">
        <v>53</v>
      </c>
      <c r="AD12" s="23" t="s">
        <v>54</v>
      </c>
      <c r="AE12" s="23" t="s">
        <v>55</v>
      </c>
      <c r="AF12" s="23" t="s">
        <v>56</v>
      </c>
      <c r="AG12" s="23" t="s">
        <v>57</v>
      </c>
      <c r="AH12" s="23" t="s">
        <v>58</v>
      </c>
      <c r="AI12" s="23" t="s">
        <v>59</v>
      </c>
      <c r="AJ12" s="23" t="s">
        <v>60</v>
      </c>
      <c r="AK12" s="23" t="s">
        <v>61</v>
      </c>
      <c r="AL12" s="23" t="s">
        <v>62</v>
      </c>
      <c r="AM12" s="24" t="s">
        <v>63</v>
      </c>
      <c r="AN12" s="25" t="s">
        <v>50</v>
      </c>
      <c r="AO12" s="26" t="s">
        <v>64</v>
      </c>
      <c r="AP12" s="27" t="s">
        <v>65</v>
      </c>
      <c r="AQ12" s="28" t="s">
        <v>66</v>
      </c>
      <c r="AR12" s="28" t="s">
        <v>67</v>
      </c>
      <c r="AS12" s="28" t="s">
        <v>68</v>
      </c>
      <c r="AT12" s="29" t="s">
        <v>69</v>
      </c>
      <c r="AU12" s="30" t="s">
        <v>70</v>
      </c>
      <c r="AV12" s="30" t="s">
        <v>71</v>
      </c>
      <c r="AW12" s="30" t="s">
        <v>72</v>
      </c>
      <c r="AX12" s="30" t="s">
        <v>73</v>
      </c>
      <c r="AY12" s="30" t="s">
        <v>74</v>
      </c>
      <c r="AZ12" s="30" t="s">
        <v>75</v>
      </c>
      <c r="BA12" s="30" t="s">
        <v>76</v>
      </c>
      <c r="BB12" s="31" t="s">
        <v>77</v>
      </c>
      <c r="BC12" s="29" t="s">
        <v>78</v>
      </c>
      <c r="BD12" s="30" t="s">
        <v>79</v>
      </c>
      <c r="BE12" s="31" t="s">
        <v>80</v>
      </c>
      <c r="BF12" s="32" t="s">
        <v>81</v>
      </c>
      <c r="BG12" s="33" t="s">
        <v>82</v>
      </c>
      <c r="BH12" s="33" t="s">
        <v>83</v>
      </c>
      <c r="BI12" s="33" t="s">
        <v>84</v>
      </c>
      <c r="BJ12" s="33" t="s">
        <v>85</v>
      </c>
      <c r="BK12" s="33" t="s">
        <v>86</v>
      </c>
      <c r="BL12" s="33" t="s">
        <v>87</v>
      </c>
      <c r="BM12" s="33" t="s">
        <v>88</v>
      </c>
      <c r="BN12" s="33" t="s">
        <v>89</v>
      </c>
      <c r="BO12" s="33" t="s">
        <v>90</v>
      </c>
      <c r="BP12" s="33" t="s">
        <v>91</v>
      </c>
      <c r="BQ12" s="33" t="s">
        <v>92</v>
      </c>
      <c r="BR12" s="34" t="s">
        <v>93</v>
      </c>
      <c r="BS12" s="35" t="s">
        <v>94</v>
      </c>
      <c r="BT12" s="35" t="s">
        <v>95</v>
      </c>
      <c r="BU12" s="35" t="s">
        <v>96</v>
      </c>
      <c r="BV12" s="35" t="s">
        <v>97</v>
      </c>
      <c r="BW12" s="35" t="s">
        <v>98</v>
      </c>
      <c r="BX12" s="35" t="s">
        <v>99</v>
      </c>
      <c r="BY12" s="35" t="s">
        <v>100</v>
      </c>
      <c r="BZ12" s="35" t="s">
        <v>101</v>
      </c>
      <c r="CA12" s="35" t="s">
        <v>102</v>
      </c>
      <c r="CB12" s="35" t="s">
        <v>103</v>
      </c>
      <c r="CC12" s="35" t="s">
        <v>104</v>
      </c>
    </row>
    <row r="13">
      <c r="A13" s="4" t="s">
        <v>105</v>
      </c>
      <c r="B13" s="4" t="s">
        <v>105</v>
      </c>
      <c r="C13" s="4" t="s">
        <v>106</v>
      </c>
      <c r="D13" s="4" t="s">
        <v>107</v>
      </c>
      <c r="E13" s="4" t="s">
        <v>108</v>
      </c>
      <c r="F13" s="4" t="s">
        <v>109</v>
      </c>
      <c r="G13" s="4" t="s">
        <v>110</v>
      </c>
      <c r="J13" s="4" t="s">
        <v>111</v>
      </c>
      <c r="K13" s="4" t="s">
        <v>112</v>
      </c>
      <c r="L13" s="4" t="s">
        <v>113</v>
      </c>
      <c r="Z13" s="2" t="s">
        <v>114</v>
      </c>
      <c r="AA13" s="2" t="s">
        <v>115</v>
      </c>
      <c r="AB13" s="2" t="s">
        <v>116</v>
      </c>
      <c r="AC13" s="4" t="s">
        <v>117</v>
      </c>
      <c r="AD13" s="4" t="s">
        <v>118</v>
      </c>
      <c r="AE13" s="2" t="s">
        <v>119</v>
      </c>
      <c r="AF13" s="4" t="s">
        <v>120</v>
      </c>
      <c r="AG13" s="4" t="s">
        <v>121</v>
      </c>
      <c r="AI13" s="4" t="s">
        <v>122</v>
      </c>
      <c r="AJ13" s="2" t="s">
        <v>123</v>
      </c>
      <c r="AK13" s="2" t="s">
        <v>124</v>
      </c>
      <c r="AL13" s="2" t="s">
        <v>125</v>
      </c>
      <c r="AM13" s="4" t="s">
        <v>126</v>
      </c>
      <c r="AN13" s="4" t="s">
        <v>127</v>
      </c>
      <c r="AO13" s="4" t="s">
        <v>128</v>
      </c>
      <c r="AP13" s="4" t="str">
        <f t="array" ref="AP13">XLOOKUP(TRUE, CHOOSECOLS(A13:V13, 1, 4, 7, 10, 13, 16, 19, 22)&lt;&gt;"", CHOOSECOLS(A13:V13, 1, 4, 7, 10, 13, 16, 19, 22), "", 0, -1)</f>
        <v>Alveolar ventilation equation</v>
      </c>
      <c r="AQ13" s="36"/>
      <c r="AR13" s="2" t="s">
        <v>129</v>
      </c>
      <c r="AS13" s="4" t="s">
        <v>130</v>
      </c>
      <c r="AT13" s="4" t="s">
        <v>131</v>
      </c>
      <c r="AW13" s="4" t="s">
        <v>132</v>
      </c>
      <c r="AX13" s="4" t="s">
        <v>133</v>
      </c>
      <c r="AY13" s="4" t="s">
        <v>134</v>
      </c>
      <c r="BF13" s="4" t="s">
        <v>135</v>
      </c>
      <c r="BR13" s="4" t="s">
        <v>136</v>
      </c>
      <c r="BS13" s="4" t="s">
        <v>137</v>
      </c>
      <c r="BT13" s="4">
        <v>2.0</v>
      </c>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row>
    <row r="14">
      <c r="A14" s="4" t="s">
        <v>105</v>
      </c>
      <c r="B14" s="4" t="s">
        <v>105</v>
      </c>
      <c r="C14" s="4" t="s">
        <v>106</v>
      </c>
      <c r="D14" s="4" t="s">
        <v>107</v>
      </c>
      <c r="E14" s="4" t="s">
        <v>108</v>
      </c>
      <c r="F14" s="4" t="s">
        <v>109</v>
      </c>
      <c r="G14" s="4" t="s">
        <v>110</v>
      </c>
      <c r="J14" s="4" t="s">
        <v>111</v>
      </c>
      <c r="K14" s="4" t="s">
        <v>112</v>
      </c>
      <c r="L14" s="4" t="s">
        <v>113</v>
      </c>
      <c r="Z14" s="2" t="s">
        <v>114</v>
      </c>
      <c r="AA14" s="2" t="s">
        <v>115</v>
      </c>
      <c r="AB14" s="2" t="s">
        <v>116</v>
      </c>
      <c r="AC14" s="4" t="s">
        <v>117</v>
      </c>
      <c r="AD14" s="4" t="s">
        <v>118</v>
      </c>
      <c r="AE14" s="2" t="s">
        <v>119</v>
      </c>
      <c r="AF14" s="4" t="s">
        <v>120</v>
      </c>
      <c r="AG14" s="4" t="s">
        <v>121</v>
      </c>
      <c r="AI14" s="4" t="s">
        <v>122</v>
      </c>
      <c r="AJ14" s="2" t="s">
        <v>123</v>
      </c>
      <c r="AK14" s="2" t="s">
        <v>138</v>
      </c>
      <c r="AL14" s="2" t="s">
        <v>125</v>
      </c>
      <c r="AM14" s="4" t="s">
        <v>126</v>
      </c>
      <c r="AN14" s="4" t="s">
        <v>127</v>
      </c>
      <c r="AO14" s="4" t="s">
        <v>128</v>
      </c>
      <c r="AP14" s="4" t="str">
        <f t="array" ref="AP14">XLOOKUP(TRUE, CHOOSECOLS(A14:V14, 1, 4, 7, 10, 13, 16, 19, 22)&lt;&gt;"", CHOOSECOLS(A14:V14, 1, 4, 7, 10, 13, 16, 19, 22), "", 0, -1)</f>
        <v>Alveolar ventilation equation</v>
      </c>
      <c r="AQ14" s="36"/>
      <c r="AR14" s="2" t="s">
        <v>129</v>
      </c>
      <c r="AS14" s="4" t="s">
        <v>130</v>
      </c>
      <c r="AT14" s="4" t="s">
        <v>131</v>
      </c>
      <c r="AW14" s="4" t="s">
        <v>132</v>
      </c>
      <c r="AX14" s="4" t="s">
        <v>133</v>
      </c>
      <c r="AY14" s="4" t="s">
        <v>134</v>
      </c>
      <c r="BF14" s="4" t="s">
        <v>135</v>
      </c>
      <c r="BR14" s="4" t="s">
        <v>136</v>
      </c>
      <c r="BS14" s="4" t="s">
        <v>137</v>
      </c>
      <c r="BT14" s="4">
        <v>2.0</v>
      </c>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row>
    <row r="15">
      <c r="A15" s="4" t="s">
        <v>105</v>
      </c>
      <c r="B15" s="4" t="s">
        <v>105</v>
      </c>
      <c r="C15" s="4" t="s">
        <v>106</v>
      </c>
      <c r="D15" s="4" t="s">
        <v>107</v>
      </c>
      <c r="E15" s="4" t="s">
        <v>108</v>
      </c>
      <c r="F15" s="4" t="s">
        <v>109</v>
      </c>
      <c r="G15" s="4" t="s">
        <v>110</v>
      </c>
      <c r="J15" s="4" t="s">
        <v>111</v>
      </c>
      <c r="K15" s="4" t="s">
        <v>112</v>
      </c>
      <c r="L15" s="4" t="s">
        <v>113</v>
      </c>
      <c r="Z15" s="2" t="s">
        <v>139</v>
      </c>
      <c r="AA15" s="2" t="s">
        <v>115</v>
      </c>
      <c r="AB15" s="2" t="s">
        <v>116</v>
      </c>
      <c r="AC15" s="4" t="s">
        <v>117</v>
      </c>
      <c r="AD15" s="4" t="s">
        <v>118</v>
      </c>
      <c r="AE15" s="2" t="s">
        <v>119</v>
      </c>
      <c r="AF15" s="4" t="s">
        <v>120</v>
      </c>
      <c r="AG15" s="4" t="s">
        <v>121</v>
      </c>
      <c r="AI15" s="4" t="s">
        <v>122</v>
      </c>
      <c r="AJ15" s="2" t="s">
        <v>140</v>
      </c>
      <c r="AK15" s="4" t="s">
        <v>141</v>
      </c>
      <c r="AL15" s="2" t="s">
        <v>142</v>
      </c>
      <c r="AM15" s="4" t="s">
        <v>126</v>
      </c>
      <c r="AN15" s="4" t="s">
        <v>127</v>
      </c>
      <c r="AO15" s="4" t="s">
        <v>143</v>
      </c>
      <c r="AP15" s="4" t="str">
        <f t="array" ref="AP15">XLOOKUP(TRUE, CHOOSECOLS(A15:V15, 1, 4, 7, 10, 13, 16, 19, 22)&lt;&gt;"", CHOOSECOLS(A15:V15, 1, 4, 7, 10, 13, 16, 19, 22), "", 0, -1)</f>
        <v>Alveolar ventilation equation</v>
      </c>
      <c r="AQ15" s="36"/>
      <c r="AR15" s="2" t="s">
        <v>129</v>
      </c>
      <c r="AS15" s="4" t="s">
        <v>130</v>
      </c>
      <c r="AT15" s="4" t="s">
        <v>131</v>
      </c>
      <c r="AW15" s="4" t="s">
        <v>132</v>
      </c>
      <c r="AX15" s="4" t="s">
        <v>133</v>
      </c>
      <c r="AY15" s="4" t="s">
        <v>134</v>
      </c>
      <c r="BF15" s="4" t="s">
        <v>135</v>
      </c>
      <c r="BR15" s="4" t="s">
        <v>136</v>
      </c>
      <c r="BS15" s="4" t="s">
        <v>137</v>
      </c>
      <c r="BT15" s="4">
        <v>2.0</v>
      </c>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row>
    <row r="16">
      <c r="A16" s="4" t="s">
        <v>105</v>
      </c>
      <c r="B16" s="4" t="s">
        <v>105</v>
      </c>
      <c r="C16" s="4" t="s">
        <v>144</v>
      </c>
      <c r="D16" s="4" t="s">
        <v>107</v>
      </c>
      <c r="E16" s="4" t="s">
        <v>108</v>
      </c>
      <c r="F16" s="4" t="s">
        <v>145</v>
      </c>
      <c r="G16" s="4" t="s">
        <v>110</v>
      </c>
      <c r="J16" s="4" t="s">
        <v>146</v>
      </c>
      <c r="Z16" s="2" t="s">
        <v>147</v>
      </c>
      <c r="AA16" s="2" t="s">
        <v>115</v>
      </c>
      <c r="AB16" s="2" t="s">
        <v>116</v>
      </c>
      <c r="AC16" s="4" t="s">
        <v>117</v>
      </c>
      <c r="AD16" s="4" t="s">
        <v>118</v>
      </c>
      <c r="AE16" s="2" t="s">
        <v>116</v>
      </c>
      <c r="AF16" s="4" t="s">
        <v>117</v>
      </c>
      <c r="AG16" s="4" t="s">
        <v>118</v>
      </c>
      <c r="AI16" s="4" t="s">
        <v>122</v>
      </c>
      <c r="AJ16" s="2" t="s">
        <v>140</v>
      </c>
      <c r="AK16" s="4" t="s">
        <v>148</v>
      </c>
      <c r="AL16" s="2" t="s">
        <v>149</v>
      </c>
      <c r="AM16" s="4" t="s">
        <v>150</v>
      </c>
      <c r="AN16" s="4" t="s">
        <v>151</v>
      </c>
      <c r="AO16" s="4" t="s">
        <v>152</v>
      </c>
      <c r="AP16" s="4" t="str">
        <f t="array" ref="AP16">XLOOKUP(TRUE, CHOOSECOLS(A16:V16, 1, 4, 7, 10, 13, 16, 19, 22)&lt;&gt;"", CHOOSECOLS(A16:V16, 1, 4, 7, 10, 13, 16, 19, 22), "", 0, -1)</f>
        <v>Dead space ventilation</v>
      </c>
      <c r="AQ16" s="36"/>
      <c r="AR16" s="2" t="s">
        <v>129</v>
      </c>
      <c r="AS16" s="4" t="s">
        <v>130</v>
      </c>
      <c r="AT16" s="4" t="s">
        <v>153</v>
      </c>
      <c r="BF16" s="2" t="s">
        <v>154</v>
      </c>
      <c r="BR16" s="4" t="s">
        <v>136</v>
      </c>
      <c r="BS16" s="4" t="s">
        <v>155</v>
      </c>
      <c r="BT16" s="4">
        <v>2.0</v>
      </c>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row>
    <row r="17">
      <c r="A17" s="4" t="s">
        <v>105</v>
      </c>
      <c r="B17" s="4" t="s">
        <v>105</v>
      </c>
      <c r="C17" s="4" t="s">
        <v>144</v>
      </c>
      <c r="D17" s="4" t="s">
        <v>107</v>
      </c>
      <c r="E17" s="4" t="s">
        <v>108</v>
      </c>
      <c r="F17" s="4" t="s">
        <v>145</v>
      </c>
      <c r="G17" s="4" t="s">
        <v>110</v>
      </c>
      <c r="J17" s="4" t="s">
        <v>146</v>
      </c>
      <c r="Z17" s="2" t="s">
        <v>156</v>
      </c>
      <c r="AA17" s="2" t="s">
        <v>115</v>
      </c>
      <c r="AB17" s="2" t="s">
        <v>116</v>
      </c>
      <c r="AC17" s="4" t="s">
        <v>117</v>
      </c>
      <c r="AD17" s="4" t="s">
        <v>118</v>
      </c>
      <c r="AE17" s="37" t="s">
        <v>157</v>
      </c>
      <c r="AF17" s="2" t="s">
        <v>158</v>
      </c>
      <c r="AG17" s="2" t="s">
        <v>159</v>
      </c>
      <c r="AI17" s="4" t="s">
        <v>122</v>
      </c>
      <c r="AJ17" s="2" t="s">
        <v>160</v>
      </c>
      <c r="AK17" s="2" t="s">
        <v>161</v>
      </c>
      <c r="AL17" s="2" t="s">
        <v>162</v>
      </c>
      <c r="AN17" s="4" t="s">
        <v>151</v>
      </c>
      <c r="AO17" s="2" t="s">
        <v>163</v>
      </c>
      <c r="AP17" s="4" t="str">
        <f t="array" ref="AP17">XLOOKUP(TRUE, CHOOSECOLS(A17:V17, 1, 4, 7, 10, 13, 16, 19, 22)&lt;&gt;"", CHOOSECOLS(A17:V17, 1, 4, 7, 10, 13, 16, 19, 22), "", 0, -1)</f>
        <v>Dead space ventilation</v>
      </c>
      <c r="AQ17" s="36"/>
      <c r="AR17" s="2" t="s">
        <v>129</v>
      </c>
      <c r="AS17" s="4" t="s">
        <v>130</v>
      </c>
      <c r="AT17" s="4" t="s">
        <v>153</v>
      </c>
      <c r="BF17" s="2" t="s">
        <v>154</v>
      </c>
      <c r="BR17" s="4" t="s">
        <v>136</v>
      </c>
      <c r="BS17" s="4" t="s">
        <v>155</v>
      </c>
      <c r="BT17" s="4">
        <v>2.0</v>
      </c>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row>
    <row r="18">
      <c r="A18" s="4" t="s">
        <v>105</v>
      </c>
      <c r="B18" s="4" t="s">
        <v>105</v>
      </c>
      <c r="C18" s="4" t="s">
        <v>164</v>
      </c>
      <c r="D18" s="4" t="s">
        <v>107</v>
      </c>
      <c r="E18" s="4" t="s">
        <v>108</v>
      </c>
      <c r="F18" s="4" t="s">
        <v>165</v>
      </c>
      <c r="G18" s="4" t="s">
        <v>110</v>
      </c>
      <c r="J18" s="4" t="s">
        <v>166</v>
      </c>
      <c r="Z18" s="2" t="s">
        <v>167</v>
      </c>
      <c r="AA18" s="2" t="s">
        <v>115</v>
      </c>
      <c r="AB18" s="2" t="s">
        <v>116</v>
      </c>
      <c r="AC18" s="4" t="s">
        <v>117</v>
      </c>
      <c r="AD18" s="4" t="s">
        <v>118</v>
      </c>
      <c r="AE18" s="2" t="s">
        <v>116</v>
      </c>
      <c r="AF18" s="4" t="s">
        <v>117</v>
      </c>
      <c r="AG18" s="4" t="s">
        <v>118</v>
      </c>
      <c r="AI18" s="2" t="s">
        <v>122</v>
      </c>
      <c r="AJ18" s="2" t="s">
        <v>168</v>
      </c>
      <c r="AK18" s="2" t="s">
        <v>169</v>
      </c>
      <c r="AL18" s="2" t="s">
        <v>170</v>
      </c>
      <c r="AN18" s="4" t="s">
        <v>171</v>
      </c>
      <c r="AO18" s="4" t="s">
        <v>172</v>
      </c>
      <c r="AP18" s="4" t="str">
        <f t="array" ref="AP18">XLOOKUP(TRUE, CHOOSECOLS(A18:V18, 1, 4, 7, 10, 13, 16, 19, 22)&lt;&gt;"", CHOOSECOLS(A18:V18, 1, 4, 7, 10, 13, 16, 19, 22), "", 0, -1)</f>
        <v>Regional ventilation distribution</v>
      </c>
      <c r="AR18" s="2" t="s">
        <v>129</v>
      </c>
      <c r="AS18" s="4" t="s">
        <v>130</v>
      </c>
      <c r="AT18" s="4" t="s">
        <v>173</v>
      </c>
      <c r="AW18" s="4" t="s">
        <v>174</v>
      </c>
      <c r="BF18" s="4" t="s">
        <v>175</v>
      </c>
      <c r="BI18" s="4" t="s">
        <v>176</v>
      </c>
      <c r="BR18" s="4" t="s">
        <v>136</v>
      </c>
      <c r="BS18" s="4" t="s">
        <v>177</v>
      </c>
      <c r="BT18" s="4">
        <v>2.0</v>
      </c>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row>
    <row r="19">
      <c r="A19" s="4" t="s">
        <v>105</v>
      </c>
      <c r="B19" s="4" t="s">
        <v>105</v>
      </c>
      <c r="C19" s="4" t="s">
        <v>164</v>
      </c>
      <c r="D19" s="4" t="s">
        <v>107</v>
      </c>
      <c r="E19" s="4" t="s">
        <v>108</v>
      </c>
      <c r="F19" s="4" t="s">
        <v>165</v>
      </c>
      <c r="G19" s="4" t="s">
        <v>110</v>
      </c>
      <c r="J19" s="4" t="s">
        <v>166</v>
      </c>
      <c r="Z19" s="2" t="s">
        <v>178</v>
      </c>
      <c r="AA19" s="2" t="s">
        <v>115</v>
      </c>
      <c r="AB19" s="2" t="s">
        <v>116</v>
      </c>
      <c r="AC19" s="4" t="s">
        <v>117</v>
      </c>
      <c r="AD19" s="4" t="s">
        <v>118</v>
      </c>
      <c r="AE19" s="4" t="s">
        <v>179</v>
      </c>
      <c r="AF19" s="4" t="s">
        <v>120</v>
      </c>
      <c r="AG19" s="4" t="s">
        <v>121</v>
      </c>
      <c r="AI19" s="2" t="s">
        <v>122</v>
      </c>
      <c r="AJ19" s="2" t="s">
        <v>180</v>
      </c>
      <c r="AK19" s="4" t="s">
        <v>181</v>
      </c>
      <c r="AL19" s="2"/>
      <c r="AM19" s="4" t="s">
        <v>182</v>
      </c>
      <c r="AN19" s="4" t="s">
        <v>171</v>
      </c>
      <c r="AO19" s="4" t="s">
        <v>183</v>
      </c>
      <c r="AP19" s="4" t="str">
        <f t="array" ref="AP19">XLOOKUP(TRUE, CHOOSECOLS(A19:V19, 1, 4, 7, 10, 13, 16, 19, 22)&lt;&gt;"", CHOOSECOLS(A19:V19, 1, 4, 7, 10, 13, 16, 19, 22), "", 0, -1)</f>
        <v>Regional ventilation distribution</v>
      </c>
      <c r="AR19" s="2" t="s">
        <v>129</v>
      </c>
      <c r="AS19" s="4" t="s">
        <v>130</v>
      </c>
      <c r="AT19" s="4" t="s">
        <v>173</v>
      </c>
      <c r="AW19" s="4" t="s">
        <v>174</v>
      </c>
      <c r="BF19" s="4" t="s">
        <v>175</v>
      </c>
      <c r="BI19" s="4" t="s">
        <v>176</v>
      </c>
      <c r="BR19" s="4" t="s">
        <v>136</v>
      </c>
      <c r="BS19" s="4" t="s">
        <v>177</v>
      </c>
      <c r="BT19" s="4">
        <v>2.0</v>
      </c>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row>
    <row r="20">
      <c r="A20" s="4" t="s">
        <v>105</v>
      </c>
      <c r="B20" s="4" t="s">
        <v>105</v>
      </c>
      <c r="C20" s="4" t="s">
        <v>184</v>
      </c>
      <c r="D20" s="4" t="s">
        <v>185</v>
      </c>
      <c r="E20" s="4" t="s">
        <v>186</v>
      </c>
      <c r="F20" s="4" t="s">
        <v>187</v>
      </c>
      <c r="G20" s="4" t="s">
        <v>188</v>
      </c>
      <c r="H20" s="4" t="s">
        <v>189</v>
      </c>
      <c r="I20" s="4" t="s">
        <v>190</v>
      </c>
      <c r="J20" s="4" t="s">
        <v>191</v>
      </c>
      <c r="K20" s="4" t="s">
        <v>192</v>
      </c>
      <c r="L20" s="4" t="s">
        <v>193</v>
      </c>
      <c r="Z20" s="2" t="s">
        <v>194</v>
      </c>
      <c r="AA20" s="2" t="s">
        <v>195</v>
      </c>
      <c r="AB20" s="2" t="s">
        <v>116</v>
      </c>
      <c r="AC20" s="4" t="s">
        <v>117</v>
      </c>
      <c r="AD20" s="4" t="s">
        <v>118</v>
      </c>
      <c r="AE20" s="4" t="s">
        <v>179</v>
      </c>
      <c r="AF20" s="4" t="s">
        <v>120</v>
      </c>
      <c r="AG20" s="4" t="s">
        <v>121</v>
      </c>
      <c r="AI20" s="2" t="s">
        <v>122</v>
      </c>
      <c r="AJ20" s="2" t="s">
        <v>123</v>
      </c>
      <c r="AK20" s="2" t="s">
        <v>196</v>
      </c>
      <c r="AL20" s="4" t="s">
        <v>197</v>
      </c>
      <c r="AM20" s="4" t="s">
        <v>198</v>
      </c>
      <c r="AN20" s="4" t="s">
        <v>199</v>
      </c>
      <c r="AO20" s="4" t="s">
        <v>200</v>
      </c>
      <c r="AP20" s="4" t="str">
        <f t="array" ref="AP20">XLOOKUP(TRUE, CHOOSECOLS(A20:V20, 1, 4, 7, 10, 13, 16, 19, 22)&lt;&gt;"", CHOOSECOLS(A20:V20, 1, 4, 7, 10, 13, 16, 19, 22), "", 0, -1)</f>
        <v>Define diffusion determinants</v>
      </c>
      <c r="AR20" s="2" t="s">
        <v>201</v>
      </c>
      <c r="AS20" s="4" t="s">
        <v>202</v>
      </c>
      <c r="AT20" s="4" t="s">
        <v>203</v>
      </c>
      <c r="BF20" s="2" t="s">
        <v>204</v>
      </c>
      <c r="BR20" s="4" t="s">
        <v>136</v>
      </c>
      <c r="BS20" s="4" t="s">
        <v>205</v>
      </c>
      <c r="BT20" s="4">
        <v>3.0</v>
      </c>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row>
    <row r="21">
      <c r="A21" s="4" t="s">
        <v>105</v>
      </c>
      <c r="B21" s="4" t="s">
        <v>105</v>
      </c>
      <c r="C21" s="4" t="s">
        <v>184</v>
      </c>
      <c r="D21" s="4" t="s">
        <v>185</v>
      </c>
      <c r="E21" s="4" t="s">
        <v>186</v>
      </c>
      <c r="F21" s="4" t="s">
        <v>187</v>
      </c>
      <c r="G21" s="4" t="s">
        <v>188</v>
      </c>
      <c r="H21" s="4" t="s">
        <v>189</v>
      </c>
      <c r="I21" s="4" t="s">
        <v>190</v>
      </c>
      <c r="J21" s="4" t="s">
        <v>191</v>
      </c>
      <c r="K21" s="4" t="s">
        <v>192</v>
      </c>
      <c r="L21" s="4" t="s">
        <v>193</v>
      </c>
      <c r="Z21" s="2" t="s">
        <v>206</v>
      </c>
      <c r="AA21" s="2" t="s">
        <v>195</v>
      </c>
      <c r="AB21" s="2" t="s">
        <v>116</v>
      </c>
      <c r="AC21" s="4" t="s">
        <v>117</v>
      </c>
      <c r="AD21" s="4" t="s">
        <v>118</v>
      </c>
      <c r="AE21" s="4" t="s">
        <v>179</v>
      </c>
      <c r="AF21" s="4" t="s">
        <v>120</v>
      </c>
      <c r="AG21" s="4" t="s">
        <v>121</v>
      </c>
      <c r="AI21" s="2" t="s">
        <v>122</v>
      </c>
      <c r="AJ21" s="2" t="s">
        <v>207</v>
      </c>
      <c r="AK21" s="4" t="s">
        <v>208</v>
      </c>
      <c r="AL21" s="2" t="s">
        <v>209</v>
      </c>
      <c r="AM21" s="4" t="s">
        <v>210</v>
      </c>
      <c r="AN21" s="4" t="s">
        <v>199</v>
      </c>
      <c r="AO21" s="4" t="s">
        <v>211</v>
      </c>
      <c r="AP21" s="4" t="str">
        <f t="array" ref="AP21">XLOOKUP(TRUE, CHOOSECOLS(A21:V21, 1, 4, 7, 10, 13, 16, 19, 22)&lt;&gt;"", CHOOSECOLS(A21:V21, 1, 4, 7, 10, 13, 16, 19, 22), "", 0, -1)</f>
        <v>Define diffusion determinants</v>
      </c>
      <c r="AR21" s="2" t="s">
        <v>201</v>
      </c>
      <c r="AS21" s="4" t="s">
        <v>202</v>
      </c>
      <c r="AT21" s="4" t="s">
        <v>203</v>
      </c>
      <c r="BF21" s="2" t="s">
        <v>204</v>
      </c>
      <c r="BR21" s="4" t="s">
        <v>136</v>
      </c>
      <c r="BS21" s="4" t="s">
        <v>205</v>
      </c>
      <c r="BT21" s="4">
        <v>3.0</v>
      </c>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row>
    <row r="22">
      <c r="A22" s="4" t="s">
        <v>105</v>
      </c>
      <c r="B22" s="4" t="s">
        <v>105</v>
      </c>
      <c r="C22" s="4" t="s">
        <v>184</v>
      </c>
      <c r="D22" s="4" t="s">
        <v>185</v>
      </c>
      <c r="E22" s="4" t="s">
        <v>186</v>
      </c>
      <c r="F22" s="4" t="s">
        <v>187</v>
      </c>
      <c r="G22" s="4" t="s">
        <v>188</v>
      </c>
      <c r="H22" s="4" t="s">
        <v>189</v>
      </c>
      <c r="I22" s="4" t="s">
        <v>190</v>
      </c>
      <c r="J22" s="4" t="s">
        <v>191</v>
      </c>
      <c r="K22" s="4" t="s">
        <v>192</v>
      </c>
      <c r="L22" s="4" t="s">
        <v>193</v>
      </c>
      <c r="Z22" s="2" t="s">
        <v>212</v>
      </c>
      <c r="AA22" s="2" t="s">
        <v>195</v>
      </c>
      <c r="AB22" s="2" t="s">
        <v>116</v>
      </c>
      <c r="AC22" s="4" t="s">
        <v>117</v>
      </c>
      <c r="AD22" s="4" t="s">
        <v>118</v>
      </c>
      <c r="AE22" s="4" t="s">
        <v>179</v>
      </c>
      <c r="AF22" s="4" t="s">
        <v>120</v>
      </c>
      <c r="AG22" s="4" t="s">
        <v>121</v>
      </c>
      <c r="AI22" s="2" t="s">
        <v>122</v>
      </c>
      <c r="AJ22" s="2" t="s">
        <v>213</v>
      </c>
      <c r="AK22" s="4" t="s">
        <v>214</v>
      </c>
      <c r="AL22" s="2" t="s">
        <v>215</v>
      </c>
      <c r="AM22" s="4" t="s">
        <v>198</v>
      </c>
      <c r="AN22" s="4" t="s">
        <v>199</v>
      </c>
      <c r="AO22" s="4" t="s">
        <v>216</v>
      </c>
      <c r="AP22" s="4" t="str">
        <f t="array" ref="AP22">XLOOKUP(TRUE, CHOOSECOLS(A22:V22, 1, 4, 7, 10, 13, 16, 19, 22)&lt;&gt;"", CHOOSECOLS(A22:V22, 1, 4, 7, 10, 13, 16, 19, 22), "", 0, -1)</f>
        <v>Define diffusion determinants</v>
      </c>
      <c r="AR22" s="2" t="s">
        <v>201</v>
      </c>
      <c r="AS22" s="4" t="s">
        <v>202</v>
      </c>
      <c r="AT22" s="4" t="s">
        <v>203</v>
      </c>
      <c r="BF22" s="2" t="s">
        <v>204</v>
      </c>
      <c r="BR22" s="4" t="s">
        <v>136</v>
      </c>
      <c r="BS22" s="4" t="s">
        <v>205</v>
      </c>
      <c r="BT22" s="4">
        <v>3.0</v>
      </c>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row>
    <row r="23">
      <c r="A23" s="4" t="s">
        <v>105</v>
      </c>
      <c r="B23" s="4" t="s">
        <v>105</v>
      </c>
      <c r="C23" s="4" t="s">
        <v>217</v>
      </c>
      <c r="D23" s="4" t="s">
        <v>185</v>
      </c>
      <c r="E23" s="4" t="s">
        <v>186</v>
      </c>
      <c r="F23" s="4" t="s">
        <v>187</v>
      </c>
      <c r="G23" s="4" t="s">
        <v>188</v>
      </c>
      <c r="H23" s="4" t="s">
        <v>189</v>
      </c>
      <c r="I23" s="4" t="s">
        <v>190</v>
      </c>
      <c r="J23" s="4" t="s">
        <v>218</v>
      </c>
      <c r="Z23" s="2" t="s">
        <v>219</v>
      </c>
      <c r="AA23" s="2" t="s">
        <v>195</v>
      </c>
      <c r="AB23" s="2" t="s">
        <v>116</v>
      </c>
      <c r="AC23" s="4" t="s">
        <v>117</v>
      </c>
      <c r="AD23" s="4" t="s">
        <v>118</v>
      </c>
      <c r="AE23" s="4" t="s">
        <v>220</v>
      </c>
      <c r="AF23" s="4" t="s">
        <v>221</v>
      </c>
      <c r="AG23" s="4" t="s">
        <v>222</v>
      </c>
      <c r="AH23" s="2"/>
      <c r="AI23" s="2" t="s">
        <v>122</v>
      </c>
      <c r="AJ23" s="2" t="s">
        <v>223</v>
      </c>
      <c r="AK23" s="4" t="s">
        <v>224</v>
      </c>
      <c r="AL23" s="2"/>
      <c r="AM23" s="4" t="s">
        <v>210</v>
      </c>
      <c r="AN23" s="4" t="s">
        <v>225</v>
      </c>
      <c r="AO23" s="4" t="s">
        <v>226</v>
      </c>
      <c r="AP23" s="4" t="str">
        <f t="array" ref="AP23">XLOOKUP(TRUE, CHOOSECOLS(A23:V23, 1, 4, 7, 10, 13, 16, 19, 22)&lt;&gt;"", CHOOSECOLS(A23:V23, 1, 4, 7, 10, 13, 16, 19, 22), "", 0, -1)</f>
        <v>Classify transfer limitation</v>
      </c>
      <c r="AR23" s="2" t="s">
        <v>201</v>
      </c>
      <c r="AS23" s="4" t="s">
        <v>227</v>
      </c>
      <c r="AT23" s="4" t="s">
        <v>228</v>
      </c>
      <c r="BF23" s="4" t="s">
        <v>229</v>
      </c>
      <c r="BR23" s="4" t="s">
        <v>136</v>
      </c>
      <c r="BS23" s="4" t="s">
        <v>230</v>
      </c>
      <c r="BT23" s="4">
        <v>3.0</v>
      </c>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row>
    <row r="24" ht="13.5" customHeight="1">
      <c r="A24" s="4" t="s">
        <v>105</v>
      </c>
      <c r="B24" s="4" t="s">
        <v>105</v>
      </c>
      <c r="C24" s="4" t="s">
        <v>217</v>
      </c>
      <c r="D24" s="4" t="s">
        <v>185</v>
      </c>
      <c r="E24" s="4" t="s">
        <v>186</v>
      </c>
      <c r="F24" s="4" t="s">
        <v>187</v>
      </c>
      <c r="G24" s="4" t="s">
        <v>188</v>
      </c>
      <c r="H24" s="4" t="s">
        <v>189</v>
      </c>
      <c r="I24" s="4" t="s">
        <v>190</v>
      </c>
      <c r="J24" s="4" t="s">
        <v>218</v>
      </c>
      <c r="Z24" s="2" t="s">
        <v>231</v>
      </c>
      <c r="AA24" s="2" t="s">
        <v>195</v>
      </c>
      <c r="AB24" s="2" t="s">
        <v>116</v>
      </c>
      <c r="AC24" s="4" t="s">
        <v>117</v>
      </c>
      <c r="AD24" s="4" t="s">
        <v>118</v>
      </c>
      <c r="AE24" s="4" t="s">
        <v>220</v>
      </c>
      <c r="AF24" s="4" t="s">
        <v>221</v>
      </c>
      <c r="AG24" s="4" t="s">
        <v>222</v>
      </c>
      <c r="AH24" s="2"/>
      <c r="AI24" s="2" t="s">
        <v>122</v>
      </c>
      <c r="AJ24" s="2" t="s">
        <v>232</v>
      </c>
      <c r="AK24" s="4" t="s">
        <v>233</v>
      </c>
      <c r="AL24" s="2"/>
      <c r="AM24" s="4" t="s">
        <v>198</v>
      </c>
      <c r="AN24" s="4" t="s">
        <v>225</v>
      </c>
      <c r="AO24" s="4" t="s">
        <v>234</v>
      </c>
      <c r="AP24" s="4" t="str">
        <f t="array" ref="AP24">XLOOKUP(TRUE, CHOOSECOLS(A24:V24, 1, 4, 7, 10, 13, 16, 19, 22)&lt;&gt;"", CHOOSECOLS(A24:V24, 1, 4, 7, 10, 13, 16, 19, 22), "", 0, -1)</f>
        <v>Classify transfer limitation</v>
      </c>
      <c r="AR24" s="2" t="s">
        <v>201</v>
      </c>
      <c r="AS24" s="4" t="s">
        <v>227</v>
      </c>
      <c r="AT24" s="4" t="s">
        <v>228</v>
      </c>
      <c r="BF24" s="4" t="s">
        <v>229</v>
      </c>
      <c r="BR24" s="4" t="s">
        <v>136</v>
      </c>
      <c r="BS24" s="4" t="s">
        <v>230</v>
      </c>
      <c r="BT24" s="4">
        <v>3.0</v>
      </c>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row>
    <row r="25">
      <c r="A25" s="4" t="s">
        <v>105</v>
      </c>
      <c r="B25" s="4" t="s">
        <v>105</v>
      </c>
      <c r="C25" s="4" t="s">
        <v>217</v>
      </c>
      <c r="D25" s="4" t="s">
        <v>185</v>
      </c>
      <c r="E25" s="4" t="s">
        <v>186</v>
      </c>
      <c r="F25" s="4" t="s">
        <v>187</v>
      </c>
      <c r="G25" s="4" t="s">
        <v>188</v>
      </c>
      <c r="H25" s="4" t="s">
        <v>189</v>
      </c>
      <c r="I25" s="4" t="s">
        <v>190</v>
      </c>
      <c r="J25" s="4" t="s">
        <v>218</v>
      </c>
      <c r="Z25" s="2" t="s">
        <v>235</v>
      </c>
      <c r="AA25" s="2" t="s">
        <v>195</v>
      </c>
      <c r="AB25" s="2" t="s">
        <v>116</v>
      </c>
      <c r="AC25" s="4" t="s">
        <v>117</v>
      </c>
      <c r="AD25" s="4" t="s">
        <v>118</v>
      </c>
      <c r="AE25" s="4" t="s">
        <v>220</v>
      </c>
      <c r="AF25" s="4" t="s">
        <v>221</v>
      </c>
      <c r="AG25" s="4" t="s">
        <v>222</v>
      </c>
      <c r="AI25" s="4" t="s">
        <v>122</v>
      </c>
      <c r="AJ25" s="2" t="s">
        <v>232</v>
      </c>
      <c r="AK25" s="4" t="s">
        <v>236</v>
      </c>
      <c r="AL25" s="2"/>
      <c r="AM25" s="4" t="s">
        <v>198</v>
      </c>
      <c r="AN25" s="4" t="s">
        <v>225</v>
      </c>
      <c r="AO25" s="4" t="s">
        <v>237</v>
      </c>
      <c r="AP25" s="4" t="str">
        <f t="array" ref="AP25">XLOOKUP(TRUE, CHOOSECOLS(A25:V25, 1, 4, 7, 10, 13, 16, 19, 22)&lt;&gt;"", CHOOSECOLS(A25:V25, 1, 4, 7, 10, 13, 16, 19, 22), "", 0, -1)</f>
        <v>Classify transfer limitation</v>
      </c>
      <c r="AQ25" s="2"/>
      <c r="AR25" s="2" t="s">
        <v>201</v>
      </c>
      <c r="AS25" s="4" t="s">
        <v>227</v>
      </c>
      <c r="AT25" s="4" t="s">
        <v>228</v>
      </c>
      <c r="BF25" s="4" t="s">
        <v>229</v>
      </c>
      <c r="BR25" s="4" t="s">
        <v>136</v>
      </c>
      <c r="BS25" s="4" t="s">
        <v>230</v>
      </c>
      <c r="BT25" s="4">
        <v>3.0</v>
      </c>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row>
    <row r="26">
      <c r="A26" s="4" t="s">
        <v>105</v>
      </c>
      <c r="B26" s="4" t="s">
        <v>105</v>
      </c>
      <c r="C26" s="4" t="s">
        <v>238</v>
      </c>
      <c r="D26" s="4" t="s">
        <v>185</v>
      </c>
      <c r="E26" s="4" t="s">
        <v>186</v>
      </c>
      <c r="F26" s="4" t="s">
        <v>187</v>
      </c>
      <c r="G26" s="4" t="s">
        <v>188</v>
      </c>
      <c r="H26" s="4" t="s">
        <v>189</v>
      </c>
      <c r="I26" s="4" t="s">
        <v>190</v>
      </c>
      <c r="J26" s="4" t="s">
        <v>239</v>
      </c>
      <c r="K26" s="4" t="s">
        <v>240</v>
      </c>
      <c r="L26" s="4" t="s">
        <v>241</v>
      </c>
      <c r="Z26" s="2" t="s">
        <v>242</v>
      </c>
      <c r="AA26" s="2" t="s">
        <v>115</v>
      </c>
      <c r="AB26" s="2" t="s">
        <v>116</v>
      </c>
      <c r="AC26" s="4" t="s">
        <v>117</v>
      </c>
      <c r="AD26" s="4" t="s">
        <v>118</v>
      </c>
      <c r="AE26" s="4" t="s">
        <v>243</v>
      </c>
      <c r="AF26" s="4" t="s">
        <v>221</v>
      </c>
      <c r="AG26" s="4" t="s">
        <v>222</v>
      </c>
      <c r="AI26" s="4" t="s">
        <v>122</v>
      </c>
      <c r="AJ26" s="2" t="s">
        <v>244</v>
      </c>
      <c r="AK26" s="4" t="s">
        <v>245</v>
      </c>
      <c r="AL26" s="2"/>
      <c r="AN26" s="4" t="s">
        <v>246</v>
      </c>
      <c r="AO26" s="4" t="s">
        <v>247</v>
      </c>
      <c r="AP26" s="4" t="str">
        <f t="array" ref="AP26">XLOOKUP(TRUE, CHOOSECOLS(A26:V26, 1, 4, 7, 10, 13, 16, 19, 22)&lt;&gt;"", CHOOSECOLS(A26:V26, 1, 4, 7, 10, 13, 16, 19, 22), "", 0, -1)</f>
        <v>O₂ uptake along capillary (normal)</v>
      </c>
      <c r="AQ26" s="2"/>
      <c r="AR26" s="2" t="s">
        <v>129</v>
      </c>
      <c r="AS26" s="4" t="s">
        <v>227</v>
      </c>
      <c r="AT26" s="4" t="s">
        <v>248</v>
      </c>
      <c r="BF26" s="4" t="s">
        <v>249</v>
      </c>
      <c r="BR26" s="4" t="s">
        <v>136</v>
      </c>
      <c r="BS26" s="4" t="s">
        <v>250</v>
      </c>
      <c r="BT26" s="4">
        <v>3.0</v>
      </c>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row>
    <row r="27">
      <c r="A27" s="4" t="s">
        <v>105</v>
      </c>
      <c r="B27" s="4" t="s">
        <v>105</v>
      </c>
      <c r="C27" s="4" t="s">
        <v>238</v>
      </c>
      <c r="D27" s="4" t="s">
        <v>185</v>
      </c>
      <c r="E27" s="4" t="s">
        <v>186</v>
      </c>
      <c r="F27" s="4" t="s">
        <v>187</v>
      </c>
      <c r="G27" s="4" t="s">
        <v>188</v>
      </c>
      <c r="H27" s="4" t="s">
        <v>189</v>
      </c>
      <c r="I27" s="4" t="s">
        <v>190</v>
      </c>
      <c r="J27" s="4" t="s">
        <v>239</v>
      </c>
      <c r="K27" s="4" t="s">
        <v>240</v>
      </c>
      <c r="L27" s="4" t="s">
        <v>241</v>
      </c>
      <c r="Z27" s="2" t="s">
        <v>251</v>
      </c>
      <c r="AA27" s="2" t="s">
        <v>115</v>
      </c>
      <c r="AB27" s="2" t="s">
        <v>116</v>
      </c>
      <c r="AC27" s="4" t="s">
        <v>117</v>
      </c>
      <c r="AD27" s="4" t="s">
        <v>118</v>
      </c>
      <c r="AE27" s="4" t="s">
        <v>243</v>
      </c>
      <c r="AF27" s="4" t="s">
        <v>221</v>
      </c>
      <c r="AG27" s="4" t="s">
        <v>222</v>
      </c>
      <c r="AI27" s="4" t="s">
        <v>122</v>
      </c>
      <c r="AJ27" s="2" t="s">
        <v>244</v>
      </c>
      <c r="AK27" s="4" t="s">
        <v>252</v>
      </c>
      <c r="AL27" s="2"/>
      <c r="AN27" s="4" t="s">
        <v>246</v>
      </c>
      <c r="AO27" s="4" t="s">
        <v>253</v>
      </c>
      <c r="AP27" s="4" t="str">
        <f t="array" ref="AP27">XLOOKUP(TRUE, CHOOSECOLS(A27:V27, 1, 4, 7, 10, 13, 16, 19, 22)&lt;&gt;"", CHOOSECOLS(A27:V27, 1, 4, 7, 10, 13, 16, 19, 22), "", 0, -1)</f>
        <v>O₂ uptake along capillary (normal)</v>
      </c>
      <c r="AQ27" s="2"/>
      <c r="AR27" s="2" t="s">
        <v>129</v>
      </c>
      <c r="AS27" s="4" t="s">
        <v>227</v>
      </c>
      <c r="AT27" s="4" t="s">
        <v>248</v>
      </c>
      <c r="BF27" s="4" t="s">
        <v>249</v>
      </c>
      <c r="BR27" s="4" t="s">
        <v>136</v>
      </c>
      <c r="BS27" s="4" t="s">
        <v>250</v>
      </c>
      <c r="BT27" s="4">
        <v>3.0</v>
      </c>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row>
    <row r="28">
      <c r="A28" s="4" t="s">
        <v>105</v>
      </c>
      <c r="B28" s="4" t="s">
        <v>105</v>
      </c>
      <c r="C28" s="4" t="s">
        <v>238</v>
      </c>
      <c r="D28" s="4" t="s">
        <v>185</v>
      </c>
      <c r="E28" s="4" t="s">
        <v>186</v>
      </c>
      <c r="F28" s="4" t="s">
        <v>187</v>
      </c>
      <c r="G28" s="4" t="s">
        <v>188</v>
      </c>
      <c r="H28" s="4" t="s">
        <v>189</v>
      </c>
      <c r="I28" s="4" t="s">
        <v>190</v>
      </c>
      <c r="J28" s="4" t="s">
        <v>239</v>
      </c>
      <c r="K28" s="4" t="s">
        <v>240</v>
      </c>
      <c r="L28" s="4" t="s">
        <v>241</v>
      </c>
      <c r="Z28" s="2" t="s">
        <v>254</v>
      </c>
      <c r="AA28" s="2" t="s">
        <v>115</v>
      </c>
      <c r="AB28" s="2" t="s">
        <v>116</v>
      </c>
      <c r="AC28" s="4" t="s">
        <v>117</v>
      </c>
      <c r="AD28" s="4" t="s">
        <v>118</v>
      </c>
      <c r="AE28" s="4" t="s">
        <v>243</v>
      </c>
      <c r="AF28" s="4" t="s">
        <v>221</v>
      </c>
      <c r="AG28" s="4" t="s">
        <v>222</v>
      </c>
      <c r="AI28" s="4" t="s">
        <v>122</v>
      </c>
      <c r="AJ28" s="2" t="s">
        <v>244</v>
      </c>
      <c r="AK28" s="4" t="s">
        <v>255</v>
      </c>
      <c r="AL28" s="2"/>
      <c r="AM28" s="4" t="s">
        <v>256</v>
      </c>
      <c r="AN28" s="4" t="s">
        <v>246</v>
      </c>
      <c r="AO28" s="4" t="s">
        <v>257</v>
      </c>
      <c r="AP28" s="4" t="str">
        <f t="array" ref="AP28">XLOOKUP(TRUE, CHOOSECOLS(A28:V28, 1, 4, 7, 10, 13, 16, 19, 22)&lt;&gt;"", CHOOSECOLS(A28:V28, 1, 4, 7, 10, 13, 16, 19, 22), "", 0, -1)</f>
        <v>O₂ uptake along capillary (normal)</v>
      </c>
      <c r="AQ28" s="2"/>
      <c r="AR28" s="2" t="s">
        <v>129</v>
      </c>
      <c r="AS28" s="4" t="s">
        <v>227</v>
      </c>
      <c r="AT28" s="4" t="s">
        <v>248</v>
      </c>
      <c r="BF28" s="4" t="s">
        <v>249</v>
      </c>
      <c r="BR28" s="4" t="s">
        <v>136</v>
      </c>
      <c r="BS28" s="4" t="s">
        <v>250</v>
      </c>
      <c r="BT28" s="4">
        <v>3.0</v>
      </c>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row>
    <row r="29">
      <c r="A29" s="4" t="s">
        <v>105</v>
      </c>
      <c r="B29" s="4" t="s">
        <v>105</v>
      </c>
      <c r="C29" s="4" t="s">
        <v>258</v>
      </c>
      <c r="D29" s="4" t="s">
        <v>185</v>
      </c>
      <c r="E29" s="4" t="s">
        <v>186</v>
      </c>
      <c r="F29" s="4" t="s">
        <v>187</v>
      </c>
      <c r="G29" s="4" t="s">
        <v>188</v>
      </c>
      <c r="H29" s="4" t="s">
        <v>189</v>
      </c>
      <c r="I29" s="4" t="s">
        <v>190</v>
      </c>
      <c r="J29" s="4" t="s">
        <v>259</v>
      </c>
      <c r="K29" s="4" t="s">
        <v>240</v>
      </c>
      <c r="L29" s="4" t="s">
        <v>241</v>
      </c>
      <c r="Z29" s="2" t="s">
        <v>260</v>
      </c>
      <c r="AA29" s="2" t="s">
        <v>261</v>
      </c>
      <c r="AB29" s="2" t="s">
        <v>116</v>
      </c>
      <c r="AC29" s="4" t="s">
        <v>117</v>
      </c>
      <c r="AD29" s="4" t="s">
        <v>118</v>
      </c>
      <c r="AE29" s="2" t="s">
        <v>262</v>
      </c>
      <c r="AF29" s="4" t="s">
        <v>117</v>
      </c>
      <c r="AG29" s="4" t="s">
        <v>118</v>
      </c>
      <c r="AH29" s="2" t="s">
        <v>263</v>
      </c>
      <c r="AI29" s="2" t="s">
        <v>122</v>
      </c>
      <c r="AJ29" s="2" t="s">
        <v>264</v>
      </c>
      <c r="AK29" s="4" t="s">
        <v>265</v>
      </c>
      <c r="AL29" s="2"/>
      <c r="AM29" s="4" t="s">
        <v>266</v>
      </c>
      <c r="AN29" s="4" t="s">
        <v>267</v>
      </c>
      <c r="AO29" s="4" t="s">
        <v>268</v>
      </c>
      <c r="AP29" s="4" t="str">
        <f t="array" ref="AP29">XLOOKUP(TRUE, CHOOSECOLS(A29:V29, 1, 4, 7, 10, 13, 16, 19, 22)&lt;&gt;"", CHOOSECOLS(A29:V29, 1, 4, 7, 10, 13, 16, 19, 22), "", 0, -1)</f>
        <v>O₂ uptake under stress</v>
      </c>
      <c r="AQ29" s="4" t="s">
        <v>269</v>
      </c>
      <c r="AR29" s="2" t="s">
        <v>270</v>
      </c>
      <c r="AS29" s="4" t="s">
        <v>227</v>
      </c>
      <c r="AT29" s="4" t="s">
        <v>271</v>
      </c>
      <c r="BF29" s="4" t="s">
        <v>272</v>
      </c>
      <c r="BR29" s="4" t="s">
        <v>136</v>
      </c>
      <c r="BS29" s="4" t="s">
        <v>273</v>
      </c>
      <c r="BT29" s="4">
        <v>3.0</v>
      </c>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row>
    <row r="30">
      <c r="A30" s="4" t="s">
        <v>105</v>
      </c>
      <c r="B30" s="4" t="s">
        <v>105</v>
      </c>
      <c r="C30" s="4" t="s">
        <v>258</v>
      </c>
      <c r="D30" s="4" t="s">
        <v>185</v>
      </c>
      <c r="E30" s="4" t="s">
        <v>186</v>
      </c>
      <c r="F30" s="4" t="s">
        <v>187</v>
      </c>
      <c r="G30" s="4" t="s">
        <v>188</v>
      </c>
      <c r="H30" s="4" t="s">
        <v>189</v>
      </c>
      <c r="I30" s="4" t="s">
        <v>190</v>
      </c>
      <c r="J30" s="4" t="s">
        <v>259</v>
      </c>
      <c r="K30" s="4" t="s">
        <v>240</v>
      </c>
      <c r="L30" s="4" t="s">
        <v>241</v>
      </c>
      <c r="Z30" s="2" t="s">
        <v>274</v>
      </c>
      <c r="AA30" s="2" t="s">
        <v>261</v>
      </c>
      <c r="AB30" s="2" t="s">
        <v>116</v>
      </c>
      <c r="AC30" s="4" t="s">
        <v>117</v>
      </c>
      <c r="AD30" s="4" t="s">
        <v>118</v>
      </c>
      <c r="AE30" s="2" t="s">
        <v>262</v>
      </c>
      <c r="AF30" s="4" t="s">
        <v>117</v>
      </c>
      <c r="AG30" s="4" t="s">
        <v>118</v>
      </c>
      <c r="AI30" s="2" t="s">
        <v>122</v>
      </c>
      <c r="AJ30" s="2" t="s">
        <v>275</v>
      </c>
      <c r="AK30" s="2" t="s">
        <v>276</v>
      </c>
      <c r="AL30" s="4" t="s">
        <v>277</v>
      </c>
      <c r="AM30" s="4" t="s">
        <v>126</v>
      </c>
      <c r="AN30" s="4" t="s">
        <v>267</v>
      </c>
      <c r="AO30" s="4" t="s">
        <v>278</v>
      </c>
      <c r="AP30" s="4" t="str">
        <f t="array" ref="AP30">XLOOKUP(TRUE, CHOOSECOLS(A30:V30, 1, 4, 7, 10, 13, 16, 19, 22)&lt;&gt;"", CHOOSECOLS(A30:V30, 1, 4, 7, 10, 13, 16, 19, 22), "", 0, -1)</f>
        <v>O₂ uptake under stress</v>
      </c>
      <c r="AQ30" s="2"/>
      <c r="AR30" s="2" t="s">
        <v>270</v>
      </c>
      <c r="AS30" s="4" t="s">
        <v>227</v>
      </c>
      <c r="AT30" s="4" t="s">
        <v>271</v>
      </c>
      <c r="BF30" s="4" t="s">
        <v>272</v>
      </c>
      <c r="BR30" s="4" t="s">
        <v>136</v>
      </c>
      <c r="BS30" s="4" t="s">
        <v>273</v>
      </c>
      <c r="BT30" s="4">
        <v>3.0</v>
      </c>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row>
    <row r="31">
      <c r="A31" s="4" t="s">
        <v>105</v>
      </c>
      <c r="B31" s="4" t="s">
        <v>105</v>
      </c>
      <c r="C31" s="4" t="s">
        <v>258</v>
      </c>
      <c r="D31" s="4" t="s">
        <v>185</v>
      </c>
      <c r="E31" s="4" t="s">
        <v>186</v>
      </c>
      <c r="F31" s="4" t="s">
        <v>187</v>
      </c>
      <c r="G31" s="4" t="s">
        <v>188</v>
      </c>
      <c r="H31" s="4" t="s">
        <v>189</v>
      </c>
      <c r="I31" s="4" t="s">
        <v>190</v>
      </c>
      <c r="J31" s="4" t="s">
        <v>259</v>
      </c>
      <c r="K31" s="4" t="s">
        <v>240</v>
      </c>
      <c r="L31" s="4" t="s">
        <v>241</v>
      </c>
      <c r="Z31" s="2" t="s">
        <v>279</v>
      </c>
      <c r="AA31" s="2" t="s">
        <v>261</v>
      </c>
      <c r="AB31" s="2" t="s">
        <v>116</v>
      </c>
      <c r="AC31" s="4" t="s">
        <v>117</v>
      </c>
      <c r="AD31" s="4" t="s">
        <v>118</v>
      </c>
      <c r="AE31" s="2" t="s">
        <v>262</v>
      </c>
      <c r="AF31" s="4" t="s">
        <v>117</v>
      </c>
      <c r="AG31" s="4" t="s">
        <v>118</v>
      </c>
      <c r="AI31" s="2" t="s">
        <v>122</v>
      </c>
      <c r="AJ31" s="2" t="s">
        <v>280</v>
      </c>
      <c r="AK31" s="2" t="s">
        <v>281</v>
      </c>
      <c r="AL31" s="2" t="s">
        <v>282</v>
      </c>
      <c r="AM31" s="4" t="s">
        <v>283</v>
      </c>
      <c r="AN31" s="4" t="s">
        <v>267</v>
      </c>
      <c r="AO31" s="4" t="s">
        <v>284</v>
      </c>
      <c r="AP31" s="4" t="str">
        <f t="array" ref="AP31">XLOOKUP(TRUE, CHOOSECOLS(A31:V31, 1, 4, 7, 10, 13, 16, 19, 22)&lt;&gt;"", CHOOSECOLS(A31:V31, 1, 4, 7, 10, 13, 16, 19, 22), "", 0, -1)</f>
        <v>O₂ uptake under stress</v>
      </c>
      <c r="AQ31" s="2"/>
      <c r="AR31" s="2" t="s">
        <v>270</v>
      </c>
      <c r="AS31" s="4" t="s">
        <v>227</v>
      </c>
      <c r="AT31" s="4" t="s">
        <v>271</v>
      </c>
      <c r="BF31" s="4" t="s">
        <v>272</v>
      </c>
      <c r="BR31" s="4" t="s">
        <v>136</v>
      </c>
      <c r="BS31" s="4" t="s">
        <v>273</v>
      </c>
      <c r="BT31" s="4">
        <v>3.0</v>
      </c>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row>
    <row r="32">
      <c r="A32" s="4" t="s">
        <v>105</v>
      </c>
      <c r="B32" s="4" t="s">
        <v>105</v>
      </c>
      <c r="C32" s="4" t="s">
        <v>285</v>
      </c>
      <c r="D32" s="4" t="s">
        <v>185</v>
      </c>
      <c r="E32" s="4" t="s">
        <v>186</v>
      </c>
      <c r="F32" s="4" t="s">
        <v>187</v>
      </c>
      <c r="G32" s="4" t="s">
        <v>188</v>
      </c>
      <c r="H32" s="4" t="s">
        <v>189</v>
      </c>
      <c r="I32" s="4" t="s">
        <v>190</v>
      </c>
      <c r="J32" s="4" t="s">
        <v>286</v>
      </c>
      <c r="Z32" s="2" t="s">
        <v>287</v>
      </c>
      <c r="AA32" s="2" t="s">
        <v>261</v>
      </c>
      <c r="AB32" s="2" t="s">
        <v>116</v>
      </c>
      <c r="AC32" s="4" t="s">
        <v>117</v>
      </c>
      <c r="AD32" s="4" t="s">
        <v>118</v>
      </c>
      <c r="AE32" s="2" t="s">
        <v>262</v>
      </c>
      <c r="AF32" s="4" t="s">
        <v>117</v>
      </c>
      <c r="AG32" s="4" t="s">
        <v>118</v>
      </c>
      <c r="AI32" s="4" t="s">
        <v>122</v>
      </c>
      <c r="AJ32" s="2" t="s">
        <v>140</v>
      </c>
      <c r="AK32" s="4" t="s">
        <v>288</v>
      </c>
      <c r="AL32" s="2" t="s">
        <v>289</v>
      </c>
      <c r="AM32" s="4" t="s">
        <v>210</v>
      </c>
      <c r="AN32" s="4" t="s">
        <v>290</v>
      </c>
      <c r="AO32" s="4" t="s">
        <v>291</v>
      </c>
      <c r="AP32" s="4" t="str">
        <f t="array" ref="AP32">XLOOKUP(TRUE, CHOOSECOLS(A32:V32, 1, 4, 7, 10, 13, 16, 19, 22)&lt;&gt;"", CHOOSECOLS(A32:V32, 1, 4, 7, 10, 13, 16, 19, 22), "", 0, -1)</f>
        <v>Measure diffusing capacity</v>
      </c>
      <c r="AQ32" s="2"/>
      <c r="AR32" s="2" t="s">
        <v>270</v>
      </c>
      <c r="AS32" s="4" t="s">
        <v>130</v>
      </c>
      <c r="AT32" s="4" t="s">
        <v>292</v>
      </c>
      <c r="BF32" s="4" t="s">
        <v>293</v>
      </c>
      <c r="BI32" s="4" t="s">
        <v>294</v>
      </c>
      <c r="BR32" s="4" t="s">
        <v>136</v>
      </c>
      <c r="BS32" s="4" t="s">
        <v>295</v>
      </c>
      <c r="BT32" s="4">
        <v>3.0</v>
      </c>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row>
    <row r="33">
      <c r="A33" s="4" t="s">
        <v>105</v>
      </c>
      <c r="B33" s="4" t="s">
        <v>105</v>
      </c>
      <c r="C33" s="4" t="s">
        <v>296</v>
      </c>
      <c r="D33" s="4" t="s">
        <v>185</v>
      </c>
      <c r="E33" s="4" t="s">
        <v>186</v>
      </c>
      <c r="F33" s="4" t="s">
        <v>187</v>
      </c>
      <c r="G33" s="4" t="s">
        <v>188</v>
      </c>
      <c r="H33" s="4" t="s">
        <v>189</v>
      </c>
      <c r="I33" s="4" t="s">
        <v>190</v>
      </c>
      <c r="J33" s="4" t="s">
        <v>297</v>
      </c>
      <c r="K33" s="4" t="s">
        <v>192</v>
      </c>
      <c r="L33" s="4" t="s">
        <v>193</v>
      </c>
      <c r="Z33" s="2" t="s">
        <v>298</v>
      </c>
      <c r="AA33" s="2" t="s">
        <v>115</v>
      </c>
      <c r="AB33" s="2" t="s">
        <v>116</v>
      </c>
      <c r="AC33" s="4" t="s">
        <v>117</v>
      </c>
      <c r="AD33" s="4" t="s">
        <v>118</v>
      </c>
      <c r="AE33" s="2" t="s">
        <v>116</v>
      </c>
      <c r="AF33" s="4" t="s">
        <v>117</v>
      </c>
      <c r="AG33" s="4" t="s">
        <v>118</v>
      </c>
      <c r="AI33" s="4" t="s">
        <v>122</v>
      </c>
      <c r="AJ33" s="2" t="s">
        <v>140</v>
      </c>
      <c r="AK33" s="4" t="s">
        <v>299</v>
      </c>
      <c r="AL33" s="2" t="s">
        <v>300</v>
      </c>
      <c r="AM33" s="4" t="s">
        <v>301</v>
      </c>
      <c r="AN33" s="4" t="s">
        <v>302</v>
      </c>
      <c r="AO33" s="4" t="s">
        <v>303</v>
      </c>
      <c r="AP33" s="4" t="str">
        <f t="array" ref="AP33">XLOOKUP(TRUE, CHOOSECOLS(A33:V33, 1, 4, 7, 10, 13, 16, 19, 22)&lt;&gt;"", CHOOSECOLS(A33:V33, 1, 4, 7, 10, 13, 16, 19, 22), "", 0, -1)</f>
        <v>Partition diffusion resistance</v>
      </c>
      <c r="AQ33" s="2"/>
      <c r="AR33" s="2" t="s">
        <v>129</v>
      </c>
      <c r="AS33" s="4" t="s">
        <v>130</v>
      </c>
      <c r="AT33" s="4" t="s">
        <v>304</v>
      </c>
      <c r="AW33" s="4" t="s">
        <v>305</v>
      </c>
      <c r="AX33" s="4" t="s">
        <v>306</v>
      </c>
      <c r="AY33" s="4" t="s">
        <v>307</v>
      </c>
      <c r="BF33" s="4" t="s">
        <v>308</v>
      </c>
      <c r="BR33" s="4" t="s">
        <v>136</v>
      </c>
      <c r="BS33" s="4" t="s">
        <v>309</v>
      </c>
      <c r="BT33" s="4">
        <v>3.0</v>
      </c>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row>
    <row r="34">
      <c r="A34" s="4" t="s">
        <v>105</v>
      </c>
      <c r="B34" s="4" t="s">
        <v>105</v>
      </c>
      <c r="C34" s="4" t="s">
        <v>296</v>
      </c>
      <c r="D34" s="4" t="s">
        <v>185</v>
      </c>
      <c r="E34" s="4" t="s">
        <v>186</v>
      </c>
      <c r="F34" s="4" t="s">
        <v>187</v>
      </c>
      <c r="G34" s="4" t="s">
        <v>188</v>
      </c>
      <c r="H34" s="4" t="s">
        <v>189</v>
      </c>
      <c r="I34" s="4" t="s">
        <v>190</v>
      </c>
      <c r="J34" s="4" t="s">
        <v>297</v>
      </c>
      <c r="K34" s="4" t="s">
        <v>192</v>
      </c>
      <c r="L34" s="4" t="s">
        <v>193</v>
      </c>
      <c r="Z34" s="2" t="s">
        <v>310</v>
      </c>
      <c r="AA34" s="2" t="s">
        <v>115</v>
      </c>
      <c r="AB34" s="2" t="s">
        <v>116</v>
      </c>
      <c r="AC34" s="4" t="s">
        <v>117</v>
      </c>
      <c r="AD34" s="4" t="s">
        <v>118</v>
      </c>
      <c r="AE34" s="2" t="s">
        <v>116</v>
      </c>
      <c r="AF34" s="4" t="s">
        <v>117</v>
      </c>
      <c r="AG34" s="4" t="s">
        <v>118</v>
      </c>
      <c r="AH34" s="2" t="s">
        <v>311</v>
      </c>
      <c r="AI34" s="2" t="s">
        <v>312</v>
      </c>
      <c r="AJ34" s="2" t="s">
        <v>313</v>
      </c>
      <c r="AK34" s="2" t="s">
        <v>314</v>
      </c>
      <c r="AL34" s="4" t="s">
        <v>315</v>
      </c>
      <c r="AM34" s="4" t="s">
        <v>198</v>
      </c>
      <c r="AN34" s="4" t="s">
        <v>302</v>
      </c>
      <c r="AO34" s="2" t="s">
        <v>316</v>
      </c>
      <c r="AP34" s="4" t="str">
        <f t="array" ref="AP34">XLOOKUP(TRUE, CHOOSECOLS(A34:V34, 1, 4, 7, 10, 13, 16, 19, 22)&lt;&gt;"", CHOOSECOLS(A34:V34, 1, 4, 7, 10, 13, 16, 19, 22), "", 0, -1)</f>
        <v>Partition diffusion resistance</v>
      </c>
      <c r="AQ34" s="2" t="s">
        <v>317</v>
      </c>
      <c r="AR34" s="2" t="s">
        <v>129</v>
      </c>
      <c r="AS34" s="4" t="s">
        <v>130</v>
      </c>
      <c r="AT34" s="4" t="s">
        <v>304</v>
      </c>
      <c r="AW34" s="4" t="s">
        <v>305</v>
      </c>
      <c r="AX34" s="4" t="s">
        <v>306</v>
      </c>
      <c r="AY34" s="4" t="s">
        <v>307</v>
      </c>
      <c r="BF34" s="4" t="s">
        <v>308</v>
      </c>
      <c r="BR34" s="4" t="s">
        <v>136</v>
      </c>
      <c r="BS34" s="4" t="s">
        <v>309</v>
      </c>
      <c r="BT34" s="4">
        <v>3.0</v>
      </c>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row>
    <row r="35">
      <c r="A35" s="4" t="s">
        <v>105</v>
      </c>
      <c r="B35" s="4" t="s">
        <v>105</v>
      </c>
      <c r="C35" s="4" t="s">
        <v>296</v>
      </c>
      <c r="D35" s="4" t="s">
        <v>185</v>
      </c>
      <c r="E35" s="4" t="s">
        <v>186</v>
      </c>
      <c r="F35" s="4" t="s">
        <v>187</v>
      </c>
      <c r="G35" s="4" t="s">
        <v>188</v>
      </c>
      <c r="H35" s="4" t="s">
        <v>189</v>
      </c>
      <c r="I35" s="4" t="s">
        <v>190</v>
      </c>
      <c r="J35" s="4" t="s">
        <v>297</v>
      </c>
      <c r="K35" s="4" t="s">
        <v>192</v>
      </c>
      <c r="L35" s="4" t="s">
        <v>193</v>
      </c>
      <c r="Z35" s="2" t="s">
        <v>310</v>
      </c>
      <c r="AA35" s="2" t="s">
        <v>115</v>
      </c>
      <c r="AB35" s="2" t="s">
        <v>116</v>
      </c>
      <c r="AC35" s="4" t="s">
        <v>117</v>
      </c>
      <c r="AD35" s="4" t="s">
        <v>118</v>
      </c>
      <c r="AE35" s="2" t="s">
        <v>116</v>
      </c>
      <c r="AF35" s="4" t="s">
        <v>117</v>
      </c>
      <c r="AG35" s="4" t="s">
        <v>118</v>
      </c>
      <c r="AH35" s="2" t="s">
        <v>281</v>
      </c>
      <c r="AI35" s="2" t="s">
        <v>312</v>
      </c>
      <c r="AJ35" s="2" t="s">
        <v>313</v>
      </c>
      <c r="AK35" s="2" t="s">
        <v>314</v>
      </c>
      <c r="AL35" s="4" t="s">
        <v>315</v>
      </c>
      <c r="AM35" s="4" t="s">
        <v>198</v>
      </c>
      <c r="AN35" s="4" t="s">
        <v>302</v>
      </c>
      <c r="AO35" s="2" t="s">
        <v>316</v>
      </c>
      <c r="AP35" s="4" t="str">
        <f t="array" ref="AP35">XLOOKUP(TRUE, CHOOSECOLS(A35:V35, 1, 4, 7, 10, 13, 16, 19, 22)&lt;&gt;"", CHOOSECOLS(A35:V35, 1, 4, 7, 10, 13, 16, 19, 22), "", 0, -1)</f>
        <v>Partition diffusion resistance</v>
      </c>
      <c r="AQ35" s="4" t="s">
        <v>317</v>
      </c>
      <c r="AR35" s="2" t="s">
        <v>129</v>
      </c>
      <c r="AS35" s="4" t="s">
        <v>130</v>
      </c>
      <c r="AT35" s="4" t="s">
        <v>304</v>
      </c>
      <c r="AW35" s="4" t="s">
        <v>305</v>
      </c>
      <c r="AX35" s="4" t="s">
        <v>306</v>
      </c>
      <c r="AY35" s="4" t="s">
        <v>307</v>
      </c>
      <c r="BF35" s="4" t="s">
        <v>308</v>
      </c>
      <c r="BR35" s="4" t="s">
        <v>136</v>
      </c>
      <c r="BS35" s="4" t="s">
        <v>309</v>
      </c>
      <c r="BT35" s="4">
        <v>3.0</v>
      </c>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row>
    <row r="36">
      <c r="A36" s="4" t="s">
        <v>105</v>
      </c>
      <c r="B36" s="4" t="s">
        <v>105</v>
      </c>
      <c r="C36" s="4" t="s">
        <v>296</v>
      </c>
      <c r="D36" s="4" t="s">
        <v>185</v>
      </c>
      <c r="E36" s="4" t="s">
        <v>186</v>
      </c>
      <c r="F36" s="4" t="s">
        <v>187</v>
      </c>
      <c r="G36" s="4" t="s">
        <v>188</v>
      </c>
      <c r="H36" s="4" t="s">
        <v>189</v>
      </c>
      <c r="I36" s="4" t="s">
        <v>190</v>
      </c>
      <c r="J36" s="4" t="s">
        <v>297</v>
      </c>
      <c r="K36" s="4" t="s">
        <v>192</v>
      </c>
      <c r="L36" s="4" t="s">
        <v>193</v>
      </c>
      <c r="Z36" s="2" t="s">
        <v>318</v>
      </c>
      <c r="AA36" s="2" t="s">
        <v>115</v>
      </c>
      <c r="AB36" s="2" t="s">
        <v>116</v>
      </c>
      <c r="AC36" s="4" t="s">
        <v>117</v>
      </c>
      <c r="AD36" s="4" t="s">
        <v>118</v>
      </c>
      <c r="AE36" s="2" t="s">
        <v>116</v>
      </c>
      <c r="AF36" s="4" t="s">
        <v>117</v>
      </c>
      <c r="AG36" s="4" t="s">
        <v>118</v>
      </c>
      <c r="AI36" s="4" t="s">
        <v>122</v>
      </c>
      <c r="AJ36" s="2" t="s">
        <v>319</v>
      </c>
      <c r="AK36" s="2" t="s">
        <v>320</v>
      </c>
      <c r="AL36" s="4" t="s">
        <v>321</v>
      </c>
      <c r="AM36" s="4" t="s">
        <v>210</v>
      </c>
      <c r="AN36" s="4" t="s">
        <v>302</v>
      </c>
      <c r="AO36" s="4" t="s">
        <v>322</v>
      </c>
      <c r="AP36" s="4" t="str">
        <f t="array" ref="AP36">XLOOKUP(TRUE, CHOOSECOLS(A36:V36, 1, 4, 7, 10, 13, 16, 19, 22)&lt;&gt;"", CHOOSECOLS(A36:V36, 1, 4, 7, 10, 13, 16, 19, 22), "", 0, -1)</f>
        <v>Partition diffusion resistance</v>
      </c>
      <c r="AQ36" s="2"/>
      <c r="AR36" s="2" t="s">
        <v>129</v>
      </c>
      <c r="AS36" s="4" t="s">
        <v>130</v>
      </c>
      <c r="AT36" s="4" t="s">
        <v>304</v>
      </c>
      <c r="AW36" s="4" t="s">
        <v>305</v>
      </c>
      <c r="AX36" s="4" t="s">
        <v>306</v>
      </c>
      <c r="AY36" s="4" t="s">
        <v>307</v>
      </c>
      <c r="BF36" s="4" t="s">
        <v>308</v>
      </c>
      <c r="BR36" s="4" t="s">
        <v>136</v>
      </c>
      <c r="BS36" s="4" t="s">
        <v>309</v>
      </c>
      <c r="BT36" s="4">
        <v>3.0</v>
      </c>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row>
    <row r="37">
      <c r="A37" s="4" t="s">
        <v>105</v>
      </c>
      <c r="B37" s="4" t="s">
        <v>105</v>
      </c>
      <c r="C37" s="4" t="s">
        <v>323</v>
      </c>
      <c r="D37" s="4" t="s">
        <v>185</v>
      </c>
      <c r="E37" s="4" t="s">
        <v>186</v>
      </c>
      <c r="F37" s="4" t="s">
        <v>187</v>
      </c>
      <c r="G37" s="4" t="s">
        <v>188</v>
      </c>
      <c r="H37" s="4" t="s">
        <v>189</v>
      </c>
      <c r="I37" s="4" t="s">
        <v>190</v>
      </c>
      <c r="J37" s="4" t="s">
        <v>324</v>
      </c>
      <c r="Z37" s="2" t="s">
        <v>325</v>
      </c>
      <c r="AA37" s="2" t="s">
        <v>261</v>
      </c>
      <c r="AB37" s="2" t="s">
        <v>116</v>
      </c>
      <c r="AC37" s="4" t="s">
        <v>117</v>
      </c>
      <c r="AD37" s="4" t="s">
        <v>118</v>
      </c>
      <c r="AE37" s="2" t="s">
        <v>262</v>
      </c>
      <c r="AF37" s="4" t="s">
        <v>117</v>
      </c>
      <c r="AG37" s="4" t="s">
        <v>118</v>
      </c>
      <c r="AI37" s="4" t="s">
        <v>122</v>
      </c>
      <c r="AJ37" s="2" t="s">
        <v>326</v>
      </c>
      <c r="AK37" s="4" t="s">
        <v>327</v>
      </c>
      <c r="AM37" s="4" t="s">
        <v>210</v>
      </c>
      <c r="AN37" s="4" t="s">
        <v>328</v>
      </c>
      <c r="AO37" s="2" t="s">
        <v>329</v>
      </c>
      <c r="AP37" s="4" t="str">
        <f t="array" ref="AP37">XLOOKUP(TRUE, CHOOSECOLS(A37:V37, 1, 4, 7, 10, 13, 16, 19, 22)&lt;&gt;"", CHOOSECOLS(A37:V37, 1, 4, 7, 10, 13, 16, 19, 22), "", 0, -1)</f>
        <v>Interpret DLCO clinically</v>
      </c>
      <c r="AQ37" s="2"/>
      <c r="AR37" s="2" t="s">
        <v>330</v>
      </c>
      <c r="AS37" s="4" t="s">
        <v>331</v>
      </c>
      <c r="AT37" s="4" t="s">
        <v>292</v>
      </c>
      <c r="AW37" s="4" t="s">
        <v>305</v>
      </c>
      <c r="AX37" s="4" t="s">
        <v>306</v>
      </c>
      <c r="AY37" s="4" t="s">
        <v>307</v>
      </c>
      <c r="BF37" s="4" t="s">
        <v>332</v>
      </c>
      <c r="BR37" s="4" t="s">
        <v>136</v>
      </c>
      <c r="BS37" s="4" t="s">
        <v>333</v>
      </c>
      <c r="BT37" s="4">
        <v>3.0</v>
      </c>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row>
    <row r="38">
      <c r="A38" s="4" t="s">
        <v>105</v>
      </c>
      <c r="B38" s="4" t="s">
        <v>105</v>
      </c>
      <c r="C38" s="4" t="s">
        <v>323</v>
      </c>
      <c r="D38" s="4" t="s">
        <v>185</v>
      </c>
      <c r="E38" s="4" t="s">
        <v>186</v>
      </c>
      <c r="F38" s="4" t="s">
        <v>187</v>
      </c>
      <c r="G38" s="4" t="s">
        <v>188</v>
      </c>
      <c r="H38" s="4" t="s">
        <v>189</v>
      </c>
      <c r="I38" s="4" t="s">
        <v>190</v>
      </c>
      <c r="J38" s="4" t="s">
        <v>324</v>
      </c>
      <c r="Z38" s="2" t="s">
        <v>334</v>
      </c>
      <c r="AA38" s="2" t="s">
        <v>261</v>
      </c>
      <c r="AB38" s="2" t="s">
        <v>116</v>
      </c>
      <c r="AC38" s="4" t="s">
        <v>117</v>
      </c>
      <c r="AD38" s="4" t="s">
        <v>118</v>
      </c>
      <c r="AE38" s="2" t="s">
        <v>262</v>
      </c>
      <c r="AF38" s="4" t="s">
        <v>117</v>
      </c>
      <c r="AG38" s="4" t="s">
        <v>118</v>
      </c>
      <c r="AI38" s="4" t="s">
        <v>122</v>
      </c>
      <c r="AJ38" s="2" t="s">
        <v>140</v>
      </c>
      <c r="AK38" s="4" t="s">
        <v>335</v>
      </c>
      <c r="AL38" s="2" t="s">
        <v>336</v>
      </c>
      <c r="AM38" s="4" t="s">
        <v>337</v>
      </c>
      <c r="AN38" s="4" t="s">
        <v>328</v>
      </c>
      <c r="AO38" s="2" t="s">
        <v>338</v>
      </c>
      <c r="AP38" s="4" t="str">
        <f t="array" ref="AP38">XLOOKUP(TRUE, CHOOSECOLS(A38:V38, 1, 4, 7, 10, 13, 16, 19, 22)&lt;&gt;"", CHOOSECOLS(A38:V38, 1, 4, 7, 10, 13, 16, 19, 22), "", 0, -1)</f>
        <v>Interpret DLCO clinically</v>
      </c>
      <c r="AQ38" s="2"/>
      <c r="AR38" s="2" t="s">
        <v>330</v>
      </c>
      <c r="AS38" s="4" t="s">
        <v>331</v>
      </c>
      <c r="AT38" s="4" t="s">
        <v>292</v>
      </c>
      <c r="AW38" s="4" t="s">
        <v>305</v>
      </c>
      <c r="AX38" s="4" t="s">
        <v>306</v>
      </c>
      <c r="AY38" s="4" t="s">
        <v>307</v>
      </c>
      <c r="BF38" s="4" t="s">
        <v>332</v>
      </c>
      <c r="BR38" s="4" t="s">
        <v>136</v>
      </c>
      <c r="BS38" s="4" t="s">
        <v>333</v>
      </c>
      <c r="BT38" s="4">
        <v>3.0</v>
      </c>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row>
    <row r="39">
      <c r="A39" s="4" t="s">
        <v>105</v>
      </c>
      <c r="B39" s="4" t="s">
        <v>105</v>
      </c>
      <c r="C39" s="4" t="s">
        <v>339</v>
      </c>
      <c r="D39" s="4" t="s">
        <v>185</v>
      </c>
      <c r="E39" s="4" t="s">
        <v>186</v>
      </c>
      <c r="F39" s="4" t="s">
        <v>187</v>
      </c>
      <c r="G39" s="4" t="s">
        <v>188</v>
      </c>
      <c r="H39" s="4" t="s">
        <v>189</v>
      </c>
      <c r="I39" s="4" t="s">
        <v>190</v>
      </c>
      <c r="J39" s="4" t="s">
        <v>340</v>
      </c>
      <c r="K39" s="4" t="s">
        <v>192</v>
      </c>
      <c r="L39" s="4" t="s">
        <v>193</v>
      </c>
      <c r="Z39" s="38" t="s">
        <v>341</v>
      </c>
      <c r="AA39" s="2" t="s">
        <v>261</v>
      </c>
      <c r="AB39" s="2" t="s">
        <v>116</v>
      </c>
      <c r="AC39" s="4" t="s">
        <v>117</v>
      </c>
      <c r="AD39" s="4" t="s">
        <v>118</v>
      </c>
      <c r="AE39" s="2" t="s">
        <v>262</v>
      </c>
      <c r="AF39" s="4" t="s">
        <v>117</v>
      </c>
      <c r="AG39" s="4" t="s">
        <v>118</v>
      </c>
      <c r="AI39" s="4" t="s">
        <v>122</v>
      </c>
      <c r="AJ39" s="2" t="s">
        <v>342</v>
      </c>
      <c r="AK39" s="2" t="s">
        <v>340</v>
      </c>
      <c r="AL39" s="2" t="s">
        <v>343</v>
      </c>
      <c r="AN39" s="4" t="s">
        <v>344</v>
      </c>
      <c r="AO39" s="4" t="s">
        <v>345</v>
      </c>
      <c r="AP39" s="4" t="str">
        <f t="array" ref="AP39">XLOOKUP(TRUE, CHOOSECOLS(A39:V39, 1, 4, 7, 10, 13, 16, 19, 22)&lt;&gt;"", CHOOSECOLS(A39:V39, 1, 4, 7, 10, 13, 16, 19, 22), "", 0, -1)</f>
        <v>CO₂ diffusion</v>
      </c>
      <c r="AQ39" s="2"/>
      <c r="AR39" s="2" t="s">
        <v>270</v>
      </c>
      <c r="AS39" s="4" t="s">
        <v>227</v>
      </c>
      <c r="AT39" s="4" t="s">
        <v>346</v>
      </c>
      <c r="AW39" s="4" t="s">
        <v>347</v>
      </c>
      <c r="BF39" s="4" t="s">
        <v>348</v>
      </c>
      <c r="BR39" s="4" t="s">
        <v>136</v>
      </c>
      <c r="BS39" s="4" t="s">
        <v>349</v>
      </c>
      <c r="BT39" s="4">
        <v>3.0</v>
      </c>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row>
    <row r="40">
      <c r="A40" s="4" t="s">
        <v>105</v>
      </c>
      <c r="B40" s="4" t="s">
        <v>105</v>
      </c>
      <c r="C40" s="4" t="s">
        <v>339</v>
      </c>
      <c r="D40" s="4" t="s">
        <v>185</v>
      </c>
      <c r="E40" s="4" t="s">
        <v>186</v>
      </c>
      <c r="F40" s="4" t="s">
        <v>187</v>
      </c>
      <c r="G40" s="4" t="s">
        <v>188</v>
      </c>
      <c r="H40" s="4" t="s">
        <v>189</v>
      </c>
      <c r="I40" s="4" t="s">
        <v>190</v>
      </c>
      <c r="J40" s="4" t="s">
        <v>340</v>
      </c>
      <c r="K40" s="4" t="s">
        <v>192</v>
      </c>
      <c r="L40" s="4" t="s">
        <v>193</v>
      </c>
      <c r="Z40" s="38" t="s">
        <v>350</v>
      </c>
      <c r="AA40" s="2" t="s">
        <v>261</v>
      </c>
      <c r="AB40" s="2" t="s">
        <v>116</v>
      </c>
      <c r="AC40" s="4" t="s">
        <v>117</v>
      </c>
      <c r="AD40" s="4" t="s">
        <v>118</v>
      </c>
      <c r="AE40" s="2" t="s">
        <v>262</v>
      </c>
      <c r="AF40" s="4" t="s">
        <v>117</v>
      </c>
      <c r="AG40" s="4" t="s">
        <v>118</v>
      </c>
      <c r="AI40" s="2" t="s">
        <v>122</v>
      </c>
      <c r="AJ40" s="2" t="s">
        <v>351</v>
      </c>
      <c r="AK40" s="2" t="s">
        <v>352</v>
      </c>
      <c r="AL40" s="2" t="s">
        <v>353</v>
      </c>
      <c r="AM40" s="4" t="s">
        <v>354</v>
      </c>
      <c r="AN40" s="4" t="s">
        <v>344</v>
      </c>
      <c r="AO40" s="4" t="s">
        <v>355</v>
      </c>
      <c r="AP40" s="4" t="str">
        <f t="array" ref="AP40">XLOOKUP(TRUE, CHOOSECOLS(A40:V40, 1, 4, 7, 10, 13, 16, 19, 22)&lt;&gt;"", CHOOSECOLS(A40:V40, 1, 4, 7, 10, 13, 16, 19, 22), "", 0, -1)</f>
        <v>CO₂ diffusion</v>
      </c>
      <c r="AQ40" s="2"/>
      <c r="AR40" s="2" t="s">
        <v>270</v>
      </c>
      <c r="AS40" s="4" t="s">
        <v>227</v>
      </c>
      <c r="AT40" s="4" t="s">
        <v>346</v>
      </c>
      <c r="AW40" s="4" t="s">
        <v>347</v>
      </c>
      <c r="BF40" s="4" t="s">
        <v>348</v>
      </c>
      <c r="BR40" s="4" t="s">
        <v>136</v>
      </c>
      <c r="BS40" s="4" t="s">
        <v>349</v>
      </c>
      <c r="BT40" s="4">
        <v>3.0</v>
      </c>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row>
    <row r="41">
      <c r="A41" s="4" t="s">
        <v>105</v>
      </c>
      <c r="B41" s="4" t="s">
        <v>105</v>
      </c>
      <c r="C41" s="4" t="s">
        <v>339</v>
      </c>
      <c r="D41" s="4" t="s">
        <v>185</v>
      </c>
      <c r="E41" s="4" t="s">
        <v>186</v>
      </c>
      <c r="F41" s="4" t="s">
        <v>187</v>
      </c>
      <c r="G41" s="4" t="s">
        <v>188</v>
      </c>
      <c r="H41" s="4" t="s">
        <v>189</v>
      </c>
      <c r="I41" s="4" t="s">
        <v>190</v>
      </c>
      <c r="J41" s="4" t="s">
        <v>340</v>
      </c>
      <c r="K41" s="4" t="s">
        <v>192</v>
      </c>
      <c r="L41" s="4" t="s">
        <v>193</v>
      </c>
      <c r="Z41" s="38" t="s">
        <v>356</v>
      </c>
      <c r="AA41" s="2" t="s">
        <v>261</v>
      </c>
      <c r="AB41" s="2" t="s">
        <v>116</v>
      </c>
      <c r="AC41" s="4" t="s">
        <v>117</v>
      </c>
      <c r="AD41" s="4" t="s">
        <v>118</v>
      </c>
      <c r="AE41" s="2" t="s">
        <v>262</v>
      </c>
      <c r="AF41" s="4" t="s">
        <v>117</v>
      </c>
      <c r="AG41" s="4" t="s">
        <v>118</v>
      </c>
      <c r="AI41" s="4" t="s">
        <v>357</v>
      </c>
      <c r="AJ41" s="2" t="s">
        <v>223</v>
      </c>
      <c r="AK41" s="4" t="s">
        <v>358</v>
      </c>
      <c r="AN41" s="4" t="s">
        <v>344</v>
      </c>
      <c r="AO41" s="4" t="s">
        <v>359</v>
      </c>
      <c r="AP41" s="4" t="str">
        <f t="array" ref="AP41">XLOOKUP(TRUE, CHOOSECOLS(A41:V41, 1, 4, 7, 10, 13, 16, 19, 22)&lt;&gt;"", CHOOSECOLS(A41:V41, 1, 4, 7, 10, 13, 16, 19, 22), "", 0, -1)</f>
        <v>CO₂ diffusion</v>
      </c>
      <c r="AQ41" s="2"/>
      <c r="AR41" s="2" t="s">
        <v>270</v>
      </c>
      <c r="AS41" s="4" t="s">
        <v>227</v>
      </c>
      <c r="AT41" s="4" t="s">
        <v>346</v>
      </c>
      <c r="AW41" s="4" t="s">
        <v>347</v>
      </c>
      <c r="BF41" s="4" t="s">
        <v>348</v>
      </c>
      <c r="BR41" s="4" t="s">
        <v>136</v>
      </c>
      <c r="BS41" s="4" t="s">
        <v>349</v>
      </c>
      <c r="BT41" s="4">
        <v>3.0</v>
      </c>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row>
    <row r="42">
      <c r="A42" s="4" t="s">
        <v>105</v>
      </c>
      <c r="B42" s="4" t="s">
        <v>105</v>
      </c>
      <c r="C42" s="4" t="s">
        <v>360</v>
      </c>
      <c r="D42" s="4" t="s">
        <v>361</v>
      </c>
      <c r="E42" s="4" t="s">
        <v>362</v>
      </c>
      <c r="F42" s="4" t="s">
        <v>363</v>
      </c>
      <c r="G42" s="4" t="s">
        <v>364</v>
      </c>
      <c r="H42" s="4" t="s">
        <v>365</v>
      </c>
      <c r="I42" s="4" t="s">
        <v>366</v>
      </c>
      <c r="J42" s="4" t="s">
        <v>367</v>
      </c>
      <c r="K42" s="4" t="s">
        <v>368</v>
      </c>
      <c r="L42" s="4" t="s">
        <v>369</v>
      </c>
      <c r="Z42" s="38" t="s">
        <v>370</v>
      </c>
      <c r="AA42" s="2" t="s">
        <v>115</v>
      </c>
      <c r="AB42" s="2" t="s">
        <v>116</v>
      </c>
      <c r="AC42" s="4" t="s">
        <v>117</v>
      </c>
      <c r="AD42" s="4" t="s">
        <v>118</v>
      </c>
      <c r="AE42" s="4" t="s">
        <v>243</v>
      </c>
      <c r="AF42" s="4" t="s">
        <v>120</v>
      </c>
      <c r="AG42" s="4" t="s">
        <v>121</v>
      </c>
      <c r="AI42" s="4" t="s">
        <v>122</v>
      </c>
      <c r="AJ42" s="2" t="s">
        <v>371</v>
      </c>
      <c r="AK42" s="4" t="s">
        <v>372</v>
      </c>
      <c r="AM42" s="4" t="s">
        <v>126</v>
      </c>
      <c r="AN42" s="4" t="s">
        <v>373</v>
      </c>
      <c r="AO42" s="4" t="s">
        <v>374</v>
      </c>
      <c r="AP42" s="4" t="str">
        <f t="array" ref="AP42">XLOOKUP(TRUE, CHOOSECOLS(A42:V42, 1, 4, 7, 10, 13, 16, 19, 22)&lt;&gt;"", CHOOSECOLS(A42:V42, 1, 4, 7, 10, 13, 16, 19, 22), "", 0, -1)</f>
        <v>Low-pressure pulmonary circuit</v>
      </c>
      <c r="AQ42" s="2"/>
      <c r="AR42" s="2" t="s">
        <v>129</v>
      </c>
      <c r="AS42" s="4" t="s">
        <v>130</v>
      </c>
      <c r="AT42" s="4" t="s">
        <v>375</v>
      </c>
      <c r="AU42" s="4" t="s">
        <v>376</v>
      </c>
      <c r="AV42" s="4" t="s">
        <v>377</v>
      </c>
      <c r="AW42" s="4" t="s">
        <v>378</v>
      </c>
      <c r="BF42" s="4" t="s">
        <v>379</v>
      </c>
      <c r="BR42" s="4" t="s">
        <v>136</v>
      </c>
      <c r="BS42" s="4" t="s">
        <v>380</v>
      </c>
      <c r="BT42" s="4">
        <v>4.0</v>
      </c>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row>
    <row r="43">
      <c r="A43" s="4" t="s">
        <v>105</v>
      </c>
      <c r="B43" s="4" t="s">
        <v>105</v>
      </c>
      <c r="C43" s="4" t="s">
        <v>360</v>
      </c>
      <c r="D43" s="4" t="s">
        <v>361</v>
      </c>
      <c r="E43" s="4" t="s">
        <v>362</v>
      </c>
      <c r="F43" s="4" t="s">
        <v>363</v>
      </c>
      <c r="G43" s="4" t="s">
        <v>364</v>
      </c>
      <c r="H43" s="4" t="s">
        <v>365</v>
      </c>
      <c r="I43" s="4" t="s">
        <v>366</v>
      </c>
      <c r="J43" s="4" t="s">
        <v>367</v>
      </c>
      <c r="K43" s="4" t="s">
        <v>368</v>
      </c>
      <c r="L43" s="4" t="s">
        <v>369</v>
      </c>
      <c r="Z43" s="38" t="s">
        <v>381</v>
      </c>
      <c r="AA43" s="2" t="s">
        <v>115</v>
      </c>
      <c r="AB43" s="2" t="s">
        <v>116</v>
      </c>
      <c r="AC43" s="4" t="s">
        <v>117</v>
      </c>
      <c r="AD43" s="4" t="s">
        <v>118</v>
      </c>
      <c r="AE43" s="4" t="s">
        <v>243</v>
      </c>
      <c r="AF43" s="4" t="s">
        <v>120</v>
      </c>
      <c r="AG43" s="4" t="s">
        <v>121</v>
      </c>
      <c r="AI43" s="4" t="s">
        <v>122</v>
      </c>
      <c r="AJ43" s="2" t="s">
        <v>382</v>
      </c>
      <c r="AK43" s="4" t="s">
        <v>383</v>
      </c>
      <c r="AM43" s="4" t="s">
        <v>126</v>
      </c>
      <c r="AN43" s="4" t="s">
        <v>373</v>
      </c>
      <c r="AO43" s="4" t="s">
        <v>384</v>
      </c>
      <c r="AP43" s="4" t="str">
        <f t="array" ref="AP43">XLOOKUP(TRUE, CHOOSECOLS(A43:V43, 1, 4, 7, 10, 13, 16, 19, 22)&lt;&gt;"", CHOOSECOLS(A43:V43, 1, 4, 7, 10, 13, 16, 19, 22), "", 0, -1)</f>
        <v>Low-pressure pulmonary circuit</v>
      </c>
      <c r="AQ43" s="2"/>
      <c r="AR43" s="2" t="s">
        <v>129</v>
      </c>
      <c r="AS43" s="4" t="s">
        <v>130</v>
      </c>
      <c r="AT43" s="4" t="s">
        <v>375</v>
      </c>
      <c r="AU43" s="4" t="s">
        <v>376</v>
      </c>
      <c r="AV43" s="4" t="s">
        <v>377</v>
      </c>
      <c r="AW43" s="4" t="s">
        <v>378</v>
      </c>
      <c r="BF43" s="4" t="s">
        <v>379</v>
      </c>
      <c r="BR43" s="4" t="s">
        <v>136</v>
      </c>
      <c r="BS43" s="4" t="s">
        <v>380</v>
      </c>
      <c r="BT43" s="4">
        <v>4.0</v>
      </c>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row>
    <row r="44" ht="15.75" customHeight="1">
      <c r="A44" s="4" t="s">
        <v>105</v>
      </c>
      <c r="B44" s="4" t="s">
        <v>105</v>
      </c>
      <c r="C44" s="4" t="s">
        <v>360</v>
      </c>
      <c r="D44" s="4" t="s">
        <v>361</v>
      </c>
      <c r="E44" s="4" t="s">
        <v>362</v>
      </c>
      <c r="F44" s="4" t="s">
        <v>363</v>
      </c>
      <c r="G44" s="4" t="s">
        <v>364</v>
      </c>
      <c r="H44" s="4" t="s">
        <v>365</v>
      </c>
      <c r="I44" s="4" t="s">
        <v>366</v>
      </c>
      <c r="J44" s="4" t="s">
        <v>367</v>
      </c>
      <c r="K44" s="4" t="s">
        <v>368</v>
      </c>
      <c r="L44" s="4" t="s">
        <v>369</v>
      </c>
      <c r="Z44" s="38" t="s">
        <v>385</v>
      </c>
      <c r="AA44" s="2" t="s">
        <v>115</v>
      </c>
      <c r="AB44" s="2" t="s">
        <v>116</v>
      </c>
      <c r="AC44" s="4" t="s">
        <v>117</v>
      </c>
      <c r="AD44" s="4" t="s">
        <v>118</v>
      </c>
      <c r="AE44" s="4" t="s">
        <v>243</v>
      </c>
      <c r="AF44" s="4" t="s">
        <v>120</v>
      </c>
      <c r="AG44" s="4" t="s">
        <v>121</v>
      </c>
      <c r="AI44" s="4" t="s">
        <v>122</v>
      </c>
      <c r="AJ44" s="2" t="s">
        <v>382</v>
      </c>
      <c r="AK44" s="4" t="s">
        <v>386</v>
      </c>
      <c r="AM44" s="4" t="s">
        <v>126</v>
      </c>
      <c r="AN44" s="4" t="s">
        <v>373</v>
      </c>
      <c r="AO44" s="4" t="s">
        <v>387</v>
      </c>
      <c r="AP44" s="4" t="str">
        <f t="array" ref="AP44">XLOOKUP(TRUE, CHOOSECOLS(A44:V44, 1, 4, 7, 10, 13, 16, 19, 22)&lt;&gt;"", CHOOSECOLS(A44:V44, 1, 4, 7, 10, 13, 16, 19, 22), "", 0, -1)</f>
        <v>Low-pressure pulmonary circuit</v>
      </c>
      <c r="AQ44" s="2"/>
      <c r="AR44" s="2" t="s">
        <v>129</v>
      </c>
      <c r="AS44" s="4" t="s">
        <v>130</v>
      </c>
      <c r="AT44" s="4" t="s">
        <v>375</v>
      </c>
      <c r="AU44" s="4" t="s">
        <v>376</v>
      </c>
      <c r="AV44" s="4" t="s">
        <v>377</v>
      </c>
      <c r="AW44" s="4" t="s">
        <v>378</v>
      </c>
      <c r="BF44" s="4" t="s">
        <v>379</v>
      </c>
      <c r="BR44" s="4" t="s">
        <v>136</v>
      </c>
      <c r="BS44" s="4" t="s">
        <v>380</v>
      </c>
      <c r="BT44" s="4">
        <v>4.0</v>
      </c>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row>
    <row r="45">
      <c r="A45" s="4" t="s">
        <v>105</v>
      </c>
      <c r="B45" s="4" t="s">
        <v>105</v>
      </c>
      <c r="C45" s="4" t="s">
        <v>388</v>
      </c>
      <c r="D45" s="4" t="s">
        <v>361</v>
      </c>
      <c r="E45" s="4" t="s">
        <v>362</v>
      </c>
      <c r="F45" s="4" t="s">
        <v>363</v>
      </c>
      <c r="G45" s="4" t="s">
        <v>364</v>
      </c>
      <c r="H45" s="4" t="s">
        <v>365</v>
      </c>
      <c r="I45" s="4" t="s">
        <v>366</v>
      </c>
      <c r="J45" s="4" t="s">
        <v>389</v>
      </c>
      <c r="K45" s="4" t="s">
        <v>390</v>
      </c>
      <c r="L45" s="4" t="s">
        <v>391</v>
      </c>
      <c r="Z45" s="38" t="s">
        <v>392</v>
      </c>
      <c r="AA45" s="2" t="s">
        <v>115</v>
      </c>
      <c r="AB45" s="2" t="s">
        <v>116</v>
      </c>
      <c r="AC45" s="4" t="s">
        <v>117</v>
      </c>
      <c r="AD45" s="4" t="s">
        <v>118</v>
      </c>
      <c r="AE45" s="4" t="s">
        <v>243</v>
      </c>
      <c r="AF45" s="4" t="s">
        <v>120</v>
      </c>
      <c r="AG45" s="4" t="s">
        <v>121</v>
      </c>
      <c r="AH45" s="2" t="s">
        <v>393</v>
      </c>
      <c r="AI45" s="2" t="s">
        <v>312</v>
      </c>
      <c r="AJ45" s="2" t="s">
        <v>394</v>
      </c>
      <c r="AK45" s="2" t="s">
        <v>395</v>
      </c>
      <c r="AM45" s="4" t="s">
        <v>126</v>
      </c>
      <c r="AN45" s="4" t="s">
        <v>396</v>
      </c>
      <c r="AO45" s="2" t="s">
        <v>397</v>
      </c>
      <c r="AP45" s="4" t="str">
        <f t="array" ref="AP45">XLOOKUP(TRUE, CHOOSECOLS(A45:V45, 1, 4, 7, 10, 13, 16, 19, 22)&lt;&gt;"", CHOOSECOLS(A45:V45, 1, 4, 7, 10, 13, 16, 19, 22), "", 0, -1)</f>
        <v>Pressures around vessels</v>
      </c>
      <c r="AQ45" s="4" t="s">
        <v>317</v>
      </c>
      <c r="AR45" s="2" t="s">
        <v>129</v>
      </c>
      <c r="AS45" s="4" t="s">
        <v>398</v>
      </c>
      <c r="AT45" s="4" t="s">
        <v>399</v>
      </c>
      <c r="BF45" s="4" t="s">
        <v>400</v>
      </c>
      <c r="BR45" s="4" t="s">
        <v>136</v>
      </c>
      <c r="BS45" s="4" t="s">
        <v>401</v>
      </c>
      <c r="BT45" s="4">
        <v>4.0</v>
      </c>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row>
    <row r="46">
      <c r="A46" s="4" t="s">
        <v>105</v>
      </c>
      <c r="B46" s="4" t="s">
        <v>105</v>
      </c>
      <c r="C46" s="4" t="s">
        <v>388</v>
      </c>
      <c r="D46" s="4" t="s">
        <v>361</v>
      </c>
      <c r="E46" s="4" t="s">
        <v>362</v>
      </c>
      <c r="F46" s="4" t="s">
        <v>363</v>
      </c>
      <c r="G46" s="4" t="s">
        <v>364</v>
      </c>
      <c r="H46" s="4" t="s">
        <v>365</v>
      </c>
      <c r="I46" s="4" t="s">
        <v>366</v>
      </c>
      <c r="J46" s="4" t="s">
        <v>389</v>
      </c>
      <c r="K46" s="4" t="s">
        <v>390</v>
      </c>
      <c r="L46" s="4" t="s">
        <v>391</v>
      </c>
      <c r="Z46" s="38" t="s">
        <v>402</v>
      </c>
      <c r="AA46" s="2" t="s">
        <v>115</v>
      </c>
      <c r="AB46" s="2" t="s">
        <v>116</v>
      </c>
      <c r="AC46" s="4" t="s">
        <v>117</v>
      </c>
      <c r="AD46" s="4" t="s">
        <v>118</v>
      </c>
      <c r="AE46" s="4" t="s">
        <v>243</v>
      </c>
      <c r="AF46" s="4" t="s">
        <v>120</v>
      </c>
      <c r="AG46" s="4" t="s">
        <v>121</v>
      </c>
      <c r="AH46" s="2" t="s">
        <v>403</v>
      </c>
      <c r="AI46" s="2" t="s">
        <v>122</v>
      </c>
      <c r="AJ46" s="2" t="s">
        <v>394</v>
      </c>
      <c r="AK46" s="2" t="s">
        <v>404</v>
      </c>
      <c r="AM46" s="4" t="s">
        <v>405</v>
      </c>
      <c r="AN46" s="4" t="s">
        <v>396</v>
      </c>
      <c r="AO46" s="4" t="s">
        <v>406</v>
      </c>
      <c r="AP46" s="4" t="str">
        <f t="array" ref="AP46">XLOOKUP(TRUE, CHOOSECOLS(A46:V46, 1, 4, 7, 10, 13, 16, 19, 22)&lt;&gt;"", CHOOSECOLS(A46:V46, 1, 4, 7, 10, 13, 16, 19, 22), "", 0, -1)</f>
        <v>Pressures around vessels</v>
      </c>
      <c r="AQ46" s="4" t="s">
        <v>317</v>
      </c>
      <c r="AR46" s="2" t="s">
        <v>129</v>
      </c>
      <c r="AS46" s="4" t="s">
        <v>398</v>
      </c>
      <c r="AT46" s="4" t="s">
        <v>399</v>
      </c>
      <c r="BF46" s="4" t="s">
        <v>400</v>
      </c>
      <c r="BR46" s="4" t="s">
        <v>136</v>
      </c>
      <c r="BS46" s="4" t="s">
        <v>401</v>
      </c>
      <c r="BT46" s="4">
        <v>4.0</v>
      </c>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row>
    <row r="47">
      <c r="A47" s="4" t="s">
        <v>105</v>
      </c>
      <c r="B47" s="4" t="s">
        <v>105</v>
      </c>
      <c r="C47" s="4" t="s">
        <v>388</v>
      </c>
      <c r="D47" s="4" t="s">
        <v>361</v>
      </c>
      <c r="E47" s="4" t="s">
        <v>362</v>
      </c>
      <c r="F47" s="4" t="s">
        <v>363</v>
      </c>
      <c r="G47" s="4" t="s">
        <v>364</v>
      </c>
      <c r="H47" s="4" t="s">
        <v>365</v>
      </c>
      <c r="I47" s="4" t="s">
        <v>366</v>
      </c>
      <c r="J47" s="4" t="s">
        <v>389</v>
      </c>
      <c r="K47" s="4" t="s">
        <v>390</v>
      </c>
      <c r="L47" s="4" t="s">
        <v>391</v>
      </c>
      <c r="Z47" s="38" t="s">
        <v>407</v>
      </c>
      <c r="AA47" s="2" t="s">
        <v>115</v>
      </c>
      <c r="AB47" s="2" t="s">
        <v>116</v>
      </c>
      <c r="AC47" s="4" t="s">
        <v>117</v>
      </c>
      <c r="AD47" s="4" t="s">
        <v>118</v>
      </c>
      <c r="AE47" s="4" t="s">
        <v>243</v>
      </c>
      <c r="AF47" s="4" t="s">
        <v>120</v>
      </c>
      <c r="AG47" s="4" t="s">
        <v>121</v>
      </c>
      <c r="AI47" s="4" t="s">
        <v>122</v>
      </c>
      <c r="AJ47" s="2" t="s">
        <v>408</v>
      </c>
      <c r="AK47" s="4" t="s">
        <v>409</v>
      </c>
      <c r="AL47" s="2" t="s">
        <v>410</v>
      </c>
      <c r="AM47" s="4" t="s">
        <v>405</v>
      </c>
      <c r="AN47" s="4" t="s">
        <v>396</v>
      </c>
      <c r="AO47" s="4" t="s">
        <v>411</v>
      </c>
      <c r="AP47" s="4" t="str">
        <f t="array" ref="AP47">XLOOKUP(TRUE, CHOOSECOLS(A47:V47, 1, 4, 7, 10, 13, 16, 19, 22)&lt;&gt;"", CHOOSECOLS(A47:V47, 1, 4, 7, 10, 13, 16, 19, 22), "", 0, -1)</f>
        <v>Pressures around vessels</v>
      </c>
      <c r="AQ47" s="2"/>
      <c r="AR47" s="2" t="s">
        <v>129</v>
      </c>
      <c r="AS47" s="4" t="s">
        <v>398</v>
      </c>
      <c r="AT47" s="4" t="s">
        <v>399</v>
      </c>
      <c r="BF47" s="4" t="s">
        <v>400</v>
      </c>
      <c r="BR47" s="4" t="s">
        <v>136</v>
      </c>
      <c r="BS47" s="4" t="s">
        <v>401</v>
      </c>
      <c r="BT47" s="4">
        <v>4.0</v>
      </c>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row>
    <row r="48">
      <c r="A48" s="4" t="s">
        <v>105</v>
      </c>
      <c r="B48" s="4" t="s">
        <v>105</v>
      </c>
      <c r="C48" s="4" t="s">
        <v>412</v>
      </c>
      <c r="D48" s="4" t="s">
        <v>361</v>
      </c>
      <c r="E48" s="4" t="s">
        <v>362</v>
      </c>
      <c r="F48" s="4" t="s">
        <v>363</v>
      </c>
      <c r="G48" s="4" t="s">
        <v>364</v>
      </c>
      <c r="H48" s="4" t="s">
        <v>365</v>
      </c>
      <c r="I48" s="4" t="s">
        <v>366</v>
      </c>
      <c r="J48" s="4" t="s">
        <v>413</v>
      </c>
      <c r="Z48" s="38" t="s">
        <v>414</v>
      </c>
      <c r="AA48" s="2" t="s">
        <v>261</v>
      </c>
      <c r="AB48" s="2" t="s">
        <v>116</v>
      </c>
      <c r="AC48" s="4" t="s">
        <v>117</v>
      </c>
      <c r="AD48" s="4" t="s">
        <v>118</v>
      </c>
      <c r="AE48" s="2" t="s">
        <v>262</v>
      </c>
      <c r="AF48" s="4" t="s">
        <v>415</v>
      </c>
      <c r="AG48" s="4" t="s">
        <v>416</v>
      </c>
      <c r="AI48" s="4" t="s">
        <v>122</v>
      </c>
      <c r="AJ48" s="2" t="s">
        <v>140</v>
      </c>
      <c r="AK48" s="4" t="s">
        <v>417</v>
      </c>
      <c r="AL48" s="4" t="s">
        <v>418</v>
      </c>
      <c r="AN48" s="4" t="s">
        <v>419</v>
      </c>
      <c r="AO48" s="4" t="s">
        <v>420</v>
      </c>
      <c r="AP48" s="4" t="str">
        <f t="array" ref="AP48">XLOOKUP(TRUE, CHOOSECOLS(A48:V48, 1, 4, 7, 10, 13, 16, 19, 22)&lt;&gt;"", CHOOSECOLS(A48:V48, 1, 4, 7, 10, 13, 16, 19, 22), "", 0, -1)</f>
        <v>Define &amp; compute PVR</v>
      </c>
      <c r="AQ48" s="2"/>
      <c r="AR48" s="2" t="s">
        <v>330</v>
      </c>
      <c r="AS48" s="4" t="s">
        <v>331</v>
      </c>
      <c r="AT48" s="4" t="s">
        <v>421</v>
      </c>
      <c r="AU48" s="4" t="s">
        <v>422</v>
      </c>
      <c r="AV48" s="4" t="s">
        <v>423</v>
      </c>
      <c r="AW48" s="4" t="s">
        <v>424</v>
      </c>
      <c r="AX48" s="4" t="s">
        <v>425</v>
      </c>
      <c r="AY48" s="4" t="s">
        <v>426</v>
      </c>
      <c r="BF48" s="2" t="s">
        <v>427</v>
      </c>
      <c r="BR48" s="4" t="s">
        <v>136</v>
      </c>
      <c r="BS48" s="4" t="s">
        <v>428</v>
      </c>
      <c r="BT48" s="4">
        <v>4.0</v>
      </c>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row>
    <row r="49">
      <c r="A49" s="4" t="s">
        <v>105</v>
      </c>
      <c r="B49" s="4" t="s">
        <v>105</v>
      </c>
      <c r="C49" s="4" t="s">
        <v>412</v>
      </c>
      <c r="D49" s="4" t="s">
        <v>361</v>
      </c>
      <c r="E49" s="4" t="s">
        <v>362</v>
      </c>
      <c r="F49" s="4" t="s">
        <v>363</v>
      </c>
      <c r="G49" s="4" t="s">
        <v>364</v>
      </c>
      <c r="H49" s="4" t="s">
        <v>365</v>
      </c>
      <c r="I49" s="4" t="s">
        <v>366</v>
      </c>
      <c r="J49" s="4" t="s">
        <v>413</v>
      </c>
      <c r="Z49" s="38" t="s">
        <v>429</v>
      </c>
      <c r="AA49" s="2" t="s">
        <v>261</v>
      </c>
      <c r="AB49" s="2" t="s">
        <v>116</v>
      </c>
      <c r="AC49" s="4" t="s">
        <v>117</v>
      </c>
      <c r="AD49" s="4" t="s">
        <v>118</v>
      </c>
      <c r="AE49" s="2" t="s">
        <v>262</v>
      </c>
      <c r="AF49" s="4" t="s">
        <v>415</v>
      </c>
      <c r="AG49" s="4" t="s">
        <v>416</v>
      </c>
      <c r="AI49" s="4" t="s">
        <v>122</v>
      </c>
      <c r="AJ49" s="2" t="s">
        <v>430</v>
      </c>
      <c r="AK49" s="4" t="s">
        <v>431</v>
      </c>
      <c r="AN49" s="4" t="s">
        <v>419</v>
      </c>
      <c r="AO49" s="4" t="s">
        <v>432</v>
      </c>
      <c r="AP49" s="4" t="str">
        <f t="array" ref="AP49">XLOOKUP(TRUE, CHOOSECOLS(A49:V49, 1, 4, 7, 10, 13, 16, 19, 22)&lt;&gt;"", CHOOSECOLS(A49:V49, 1, 4, 7, 10, 13, 16, 19, 22), "", 0, -1)</f>
        <v>Define &amp; compute PVR</v>
      </c>
      <c r="AQ49" s="2"/>
      <c r="AR49" s="2" t="s">
        <v>330</v>
      </c>
      <c r="AS49" s="4" t="s">
        <v>331</v>
      </c>
      <c r="AT49" s="4" t="s">
        <v>421</v>
      </c>
      <c r="AU49" s="4" t="s">
        <v>422</v>
      </c>
      <c r="AV49" s="4" t="s">
        <v>423</v>
      </c>
      <c r="AW49" s="4" t="s">
        <v>424</v>
      </c>
      <c r="AX49" s="4" t="s">
        <v>425</v>
      </c>
      <c r="AY49" s="4" t="s">
        <v>426</v>
      </c>
      <c r="BF49" s="2" t="s">
        <v>427</v>
      </c>
      <c r="BR49" s="4" t="s">
        <v>136</v>
      </c>
      <c r="BS49" s="4" t="s">
        <v>428</v>
      </c>
      <c r="BT49" s="4">
        <v>4.0</v>
      </c>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row>
    <row r="50">
      <c r="A50" s="4" t="s">
        <v>105</v>
      </c>
      <c r="B50" s="4" t="s">
        <v>105</v>
      </c>
      <c r="C50" s="4" t="s">
        <v>412</v>
      </c>
      <c r="D50" s="4" t="s">
        <v>361</v>
      </c>
      <c r="E50" s="4" t="s">
        <v>362</v>
      </c>
      <c r="F50" s="4" t="s">
        <v>363</v>
      </c>
      <c r="G50" s="4" t="s">
        <v>364</v>
      </c>
      <c r="H50" s="4" t="s">
        <v>365</v>
      </c>
      <c r="I50" s="4" t="s">
        <v>366</v>
      </c>
      <c r="J50" s="4" t="s">
        <v>413</v>
      </c>
      <c r="Z50" s="38" t="s">
        <v>433</v>
      </c>
      <c r="AA50" s="2" t="s">
        <v>261</v>
      </c>
      <c r="AB50" s="2" t="s">
        <v>116</v>
      </c>
      <c r="AC50" s="4" t="s">
        <v>117</v>
      </c>
      <c r="AD50" s="4" t="s">
        <v>118</v>
      </c>
      <c r="AE50" s="2" t="s">
        <v>262</v>
      </c>
      <c r="AF50" s="4" t="s">
        <v>415</v>
      </c>
      <c r="AG50" s="4" t="s">
        <v>416</v>
      </c>
      <c r="AI50" s="4" t="s">
        <v>122</v>
      </c>
      <c r="AJ50" s="2" t="s">
        <v>434</v>
      </c>
      <c r="AK50" s="4" t="s">
        <v>435</v>
      </c>
      <c r="AM50" s="4" t="s">
        <v>436</v>
      </c>
      <c r="AN50" s="4" t="s">
        <v>419</v>
      </c>
      <c r="AO50" s="4" t="s">
        <v>437</v>
      </c>
      <c r="AP50" s="4" t="str">
        <f t="array" ref="AP50">XLOOKUP(TRUE, CHOOSECOLS(A50:V50, 1, 4, 7, 10, 13, 16, 19, 22)&lt;&gt;"", CHOOSECOLS(A50:V50, 1, 4, 7, 10, 13, 16, 19, 22), "", 0, -1)</f>
        <v>Define &amp; compute PVR</v>
      </c>
      <c r="AQ50" s="2"/>
      <c r="AR50" s="2" t="s">
        <v>330</v>
      </c>
      <c r="AS50" s="4" t="s">
        <v>331</v>
      </c>
      <c r="AT50" s="4" t="s">
        <v>421</v>
      </c>
      <c r="AU50" s="4" t="s">
        <v>422</v>
      </c>
      <c r="AV50" s="4" t="s">
        <v>423</v>
      </c>
      <c r="AW50" s="4" t="s">
        <v>424</v>
      </c>
      <c r="AX50" s="4" t="s">
        <v>425</v>
      </c>
      <c r="AY50" s="4" t="s">
        <v>426</v>
      </c>
      <c r="BF50" s="2" t="s">
        <v>427</v>
      </c>
      <c r="BR50" s="4" t="s">
        <v>136</v>
      </c>
      <c r="BS50" s="4" t="s">
        <v>428</v>
      </c>
      <c r="BT50" s="4">
        <v>4.0</v>
      </c>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row>
    <row r="51">
      <c r="A51" s="4" t="s">
        <v>105</v>
      </c>
      <c r="B51" s="4" t="s">
        <v>105</v>
      </c>
      <c r="C51" s="4" t="s">
        <v>438</v>
      </c>
      <c r="D51" s="4" t="s">
        <v>361</v>
      </c>
      <c r="E51" s="4" t="s">
        <v>362</v>
      </c>
      <c r="F51" s="4" t="s">
        <v>363</v>
      </c>
      <c r="G51" s="4" t="s">
        <v>364</v>
      </c>
      <c r="H51" s="4" t="s">
        <v>365</v>
      </c>
      <c r="I51" s="4" t="s">
        <v>366</v>
      </c>
      <c r="J51" s="4" t="s">
        <v>439</v>
      </c>
      <c r="K51" s="4" t="s">
        <v>440</v>
      </c>
      <c r="L51" s="4" t="s">
        <v>441</v>
      </c>
      <c r="Z51" s="38" t="s">
        <v>442</v>
      </c>
      <c r="AA51" s="2" t="s">
        <v>261</v>
      </c>
      <c r="AB51" s="2" t="s">
        <v>116</v>
      </c>
      <c r="AC51" s="4" t="s">
        <v>117</v>
      </c>
      <c r="AD51" s="4" t="s">
        <v>118</v>
      </c>
      <c r="AE51" s="2" t="s">
        <v>262</v>
      </c>
      <c r="AF51" s="4" t="s">
        <v>415</v>
      </c>
      <c r="AG51" s="4" t="s">
        <v>416</v>
      </c>
      <c r="AI51" s="4" t="s">
        <v>357</v>
      </c>
      <c r="AJ51" s="2" t="s">
        <v>394</v>
      </c>
      <c r="AK51" s="4" t="s">
        <v>443</v>
      </c>
      <c r="AM51" s="4" t="s">
        <v>436</v>
      </c>
      <c r="AN51" s="4" t="s">
        <v>444</v>
      </c>
      <c r="AO51" s="4" t="s">
        <v>445</v>
      </c>
      <c r="AP51" s="4" t="str">
        <f t="array" ref="AP51">XLOOKUP(TRUE, CHOOSECOLS(A51:V51, 1, 4, 7, 10, 13, 16, 19, 22)&lt;&gt;"", CHOOSECOLS(A51:V51, 1, 4, 7, 10, 13, 16, 19, 22), "", 0, -1)</f>
        <v>Recruitment &amp; distension</v>
      </c>
      <c r="AQ51" s="2"/>
      <c r="AR51" s="2" t="s">
        <v>270</v>
      </c>
      <c r="AS51" s="4" t="s">
        <v>130</v>
      </c>
      <c r="AT51" s="4" t="s">
        <v>424</v>
      </c>
      <c r="AU51" s="4" t="s">
        <v>425</v>
      </c>
      <c r="AV51" s="4" t="s">
        <v>426</v>
      </c>
      <c r="BF51" s="4" t="s">
        <v>446</v>
      </c>
      <c r="BR51" s="4" t="s">
        <v>136</v>
      </c>
      <c r="BS51" s="4" t="s">
        <v>447</v>
      </c>
      <c r="BT51" s="4">
        <v>4.0</v>
      </c>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row>
    <row r="52">
      <c r="A52" s="4" t="s">
        <v>105</v>
      </c>
      <c r="B52" s="4" t="s">
        <v>105</v>
      </c>
      <c r="C52" s="4" t="s">
        <v>438</v>
      </c>
      <c r="D52" s="4" t="s">
        <v>361</v>
      </c>
      <c r="E52" s="4" t="s">
        <v>362</v>
      </c>
      <c r="F52" s="4" t="s">
        <v>363</v>
      </c>
      <c r="G52" s="4" t="s">
        <v>364</v>
      </c>
      <c r="H52" s="4" t="s">
        <v>365</v>
      </c>
      <c r="I52" s="4" t="s">
        <v>366</v>
      </c>
      <c r="J52" s="4" t="s">
        <v>439</v>
      </c>
      <c r="K52" s="4" t="s">
        <v>440</v>
      </c>
      <c r="L52" s="4" t="s">
        <v>441</v>
      </c>
      <c r="Z52" s="38" t="s">
        <v>448</v>
      </c>
      <c r="AA52" s="2" t="s">
        <v>261</v>
      </c>
      <c r="AB52" s="2" t="s">
        <v>116</v>
      </c>
      <c r="AC52" s="4" t="s">
        <v>117</v>
      </c>
      <c r="AD52" s="4" t="s">
        <v>118</v>
      </c>
      <c r="AE52" s="2" t="s">
        <v>262</v>
      </c>
      <c r="AF52" s="4" t="s">
        <v>415</v>
      </c>
      <c r="AG52" s="4" t="s">
        <v>416</v>
      </c>
      <c r="AI52" s="4" t="s">
        <v>357</v>
      </c>
      <c r="AJ52" s="2" t="s">
        <v>394</v>
      </c>
      <c r="AK52" s="4" t="s">
        <v>443</v>
      </c>
      <c r="AM52" s="4" t="s">
        <v>436</v>
      </c>
      <c r="AN52" s="4" t="s">
        <v>444</v>
      </c>
      <c r="AO52" s="4" t="s">
        <v>449</v>
      </c>
      <c r="AP52" s="4" t="str">
        <f t="array" ref="AP52">XLOOKUP(TRUE, CHOOSECOLS(A52:V52, 1, 4, 7, 10, 13, 16, 19, 22)&lt;&gt;"", CHOOSECOLS(A52:V52, 1, 4, 7, 10, 13, 16, 19, 22), "", 0, -1)</f>
        <v>Recruitment &amp; distension</v>
      </c>
      <c r="AQ52" s="2"/>
      <c r="AR52" s="2" t="s">
        <v>270</v>
      </c>
      <c r="AS52" s="4" t="s">
        <v>130</v>
      </c>
      <c r="AT52" s="4" t="s">
        <v>424</v>
      </c>
      <c r="AU52" s="4" t="s">
        <v>425</v>
      </c>
      <c r="AV52" s="4" t="s">
        <v>426</v>
      </c>
      <c r="BF52" s="4" t="s">
        <v>446</v>
      </c>
      <c r="BR52" s="4" t="s">
        <v>136</v>
      </c>
      <c r="BS52" s="4" t="s">
        <v>447</v>
      </c>
      <c r="BT52" s="4">
        <v>4.0</v>
      </c>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row>
    <row r="53">
      <c r="A53" s="4" t="s">
        <v>105</v>
      </c>
      <c r="B53" s="4" t="s">
        <v>105</v>
      </c>
      <c r="C53" s="4" t="s">
        <v>438</v>
      </c>
      <c r="D53" s="4" t="s">
        <v>361</v>
      </c>
      <c r="E53" s="4" t="s">
        <v>362</v>
      </c>
      <c r="F53" s="4" t="s">
        <v>363</v>
      </c>
      <c r="G53" s="4" t="s">
        <v>364</v>
      </c>
      <c r="H53" s="4" t="s">
        <v>365</v>
      </c>
      <c r="I53" s="4" t="s">
        <v>366</v>
      </c>
      <c r="J53" s="4" t="s">
        <v>439</v>
      </c>
      <c r="K53" s="4" t="s">
        <v>440</v>
      </c>
      <c r="L53" s="4" t="s">
        <v>441</v>
      </c>
      <c r="Z53" s="38" t="s">
        <v>450</v>
      </c>
      <c r="AA53" s="2" t="s">
        <v>261</v>
      </c>
      <c r="AB53" s="2" t="s">
        <v>116</v>
      </c>
      <c r="AC53" s="4" t="s">
        <v>117</v>
      </c>
      <c r="AD53" s="4" t="s">
        <v>118</v>
      </c>
      <c r="AE53" s="2" t="s">
        <v>262</v>
      </c>
      <c r="AF53" s="4" t="s">
        <v>415</v>
      </c>
      <c r="AG53" s="4" t="s">
        <v>416</v>
      </c>
      <c r="AI53" s="4" t="s">
        <v>357</v>
      </c>
      <c r="AJ53" s="2" t="s">
        <v>394</v>
      </c>
      <c r="AK53" s="4" t="s">
        <v>451</v>
      </c>
      <c r="AM53" s="4" t="s">
        <v>436</v>
      </c>
      <c r="AN53" s="4" t="s">
        <v>444</v>
      </c>
      <c r="AO53" s="4" t="s">
        <v>452</v>
      </c>
      <c r="AP53" s="4" t="str">
        <f t="array" ref="AP53">XLOOKUP(TRUE, CHOOSECOLS(A53:V53, 1, 4, 7, 10, 13, 16, 19, 22)&lt;&gt;"", CHOOSECOLS(A53:V53, 1, 4, 7, 10, 13, 16, 19, 22), "", 0, -1)</f>
        <v>Recruitment &amp; distension</v>
      </c>
      <c r="AQ53" s="2"/>
      <c r="AR53" s="2" t="s">
        <v>270</v>
      </c>
      <c r="AS53" s="4" t="s">
        <v>130</v>
      </c>
      <c r="AT53" s="4" t="s">
        <v>424</v>
      </c>
      <c r="AU53" s="4" t="s">
        <v>425</v>
      </c>
      <c r="AV53" s="4" t="s">
        <v>426</v>
      </c>
      <c r="BF53" s="4" t="s">
        <v>446</v>
      </c>
      <c r="BR53" s="4" t="s">
        <v>136</v>
      </c>
      <c r="BS53" s="4" t="s">
        <v>447</v>
      </c>
      <c r="BT53" s="4">
        <v>4.0</v>
      </c>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row>
    <row r="54">
      <c r="A54" s="4" t="s">
        <v>105</v>
      </c>
      <c r="B54" s="4" t="s">
        <v>105</v>
      </c>
      <c r="C54" s="4" t="s">
        <v>453</v>
      </c>
      <c r="D54" s="4" t="s">
        <v>361</v>
      </c>
      <c r="E54" s="4" t="s">
        <v>362</v>
      </c>
      <c r="F54" s="4" t="s">
        <v>363</v>
      </c>
      <c r="G54" s="4" t="s">
        <v>364</v>
      </c>
      <c r="H54" s="4" t="s">
        <v>365</v>
      </c>
      <c r="I54" s="4" t="s">
        <v>366</v>
      </c>
      <c r="J54" s="4" t="s">
        <v>454</v>
      </c>
      <c r="K54" s="4" t="s">
        <v>186</v>
      </c>
      <c r="L54" s="4" t="s">
        <v>187</v>
      </c>
      <c r="Z54" s="38" t="s">
        <v>455</v>
      </c>
      <c r="AA54" s="2" t="s">
        <v>115</v>
      </c>
      <c r="AB54" s="2" t="s">
        <v>116</v>
      </c>
      <c r="AC54" s="4" t="s">
        <v>117</v>
      </c>
      <c r="AD54" s="4" t="s">
        <v>118</v>
      </c>
      <c r="AE54" s="2" t="s">
        <v>456</v>
      </c>
      <c r="AF54" s="2" t="s">
        <v>457</v>
      </c>
      <c r="AG54" s="2" t="s">
        <v>458</v>
      </c>
      <c r="AI54" s="4" t="s">
        <v>312</v>
      </c>
      <c r="AJ54" s="2" t="s">
        <v>394</v>
      </c>
      <c r="AK54" s="4" t="s">
        <v>459</v>
      </c>
      <c r="AM54" s="4" t="s">
        <v>436</v>
      </c>
      <c r="AN54" s="4" t="s">
        <v>460</v>
      </c>
      <c r="AO54" s="4" t="s">
        <v>461</v>
      </c>
      <c r="AP54" s="4" t="str">
        <f t="array" ref="AP54">XLOOKUP(TRUE, CHOOSECOLS(A54:V54, 1, 4, 7, 10, 13, 16, 19, 22)&lt;&gt;"", CHOOSECOLS(A54:V54, 1, 4, 7, 10, 13, 16, 19, 22), "", 0, -1)</f>
        <v>Lung volume–PVR U curve</v>
      </c>
      <c r="AQ54" s="2"/>
      <c r="AR54" s="2" t="s">
        <v>129</v>
      </c>
      <c r="AS54" s="4" t="s">
        <v>130</v>
      </c>
      <c r="AT54" s="4" t="s">
        <v>424</v>
      </c>
      <c r="AU54" s="4" t="s">
        <v>425</v>
      </c>
      <c r="AV54" s="4" t="s">
        <v>426</v>
      </c>
      <c r="BF54" s="4" t="s">
        <v>462</v>
      </c>
      <c r="BR54" s="4" t="s">
        <v>136</v>
      </c>
      <c r="BS54" s="4" t="s">
        <v>463</v>
      </c>
      <c r="BT54" s="4">
        <v>4.0</v>
      </c>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row>
    <row r="55">
      <c r="A55" s="4" t="s">
        <v>105</v>
      </c>
      <c r="B55" s="4" t="s">
        <v>105</v>
      </c>
      <c r="C55" s="4" t="s">
        <v>453</v>
      </c>
      <c r="D55" s="4" t="s">
        <v>361</v>
      </c>
      <c r="E55" s="4" t="s">
        <v>362</v>
      </c>
      <c r="F55" s="4" t="s">
        <v>363</v>
      </c>
      <c r="G55" s="4" t="s">
        <v>364</v>
      </c>
      <c r="H55" s="4" t="s">
        <v>365</v>
      </c>
      <c r="I55" s="4" t="s">
        <v>366</v>
      </c>
      <c r="J55" s="4" t="s">
        <v>454</v>
      </c>
      <c r="K55" s="4" t="s">
        <v>186</v>
      </c>
      <c r="L55" s="4" t="s">
        <v>187</v>
      </c>
      <c r="Z55" s="38" t="s">
        <v>464</v>
      </c>
      <c r="AA55" s="2" t="s">
        <v>115</v>
      </c>
      <c r="AB55" s="2" t="s">
        <v>116</v>
      </c>
      <c r="AC55" s="4" t="s">
        <v>117</v>
      </c>
      <c r="AD55" s="4" t="s">
        <v>118</v>
      </c>
      <c r="AE55" s="2" t="s">
        <v>456</v>
      </c>
      <c r="AF55" s="2" t="s">
        <v>457</v>
      </c>
      <c r="AG55" s="2" t="s">
        <v>458</v>
      </c>
      <c r="AI55" s="4" t="s">
        <v>312</v>
      </c>
      <c r="AJ55" s="2" t="s">
        <v>394</v>
      </c>
      <c r="AK55" s="4" t="s">
        <v>465</v>
      </c>
      <c r="AM55" s="4" t="s">
        <v>436</v>
      </c>
      <c r="AN55" s="4" t="s">
        <v>460</v>
      </c>
      <c r="AO55" s="4" t="s">
        <v>466</v>
      </c>
      <c r="AP55" s="4" t="str">
        <f t="array" ref="AP55">XLOOKUP(TRUE, CHOOSECOLS(A55:V55, 1, 4, 7, 10, 13, 16, 19, 22)&lt;&gt;"", CHOOSECOLS(A55:V55, 1, 4, 7, 10, 13, 16, 19, 22), "", 0, -1)</f>
        <v>Lung volume–PVR U curve</v>
      </c>
      <c r="AQ55" s="2"/>
      <c r="AR55" s="2" t="s">
        <v>129</v>
      </c>
      <c r="AS55" s="4" t="s">
        <v>130</v>
      </c>
      <c r="AT55" s="4" t="s">
        <v>424</v>
      </c>
      <c r="AU55" s="4" t="s">
        <v>425</v>
      </c>
      <c r="AV55" s="4" t="s">
        <v>426</v>
      </c>
      <c r="BF55" s="4" t="s">
        <v>462</v>
      </c>
      <c r="BR55" s="4" t="s">
        <v>136</v>
      </c>
      <c r="BS55" s="4" t="s">
        <v>463</v>
      </c>
      <c r="BT55" s="4">
        <v>4.0</v>
      </c>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row>
    <row r="56">
      <c r="A56" s="4" t="s">
        <v>105</v>
      </c>
      <c r="B56" s="4" t="s">
        <v>105</v>
      </c>
      <c r="C56" s="4" t="s">
        <v>453</v>
      </c>
      <c r="D56" s="4" t="s">
        <v>361</v>
      </c>
      <c r="E56" s="4" t="s">
        <v>362</v>
      </c>
      <c r="F56" s="4" t="s">
        <v>363</v>
      </c>
      <c r="G56" s="4" t="s">
        <v>364</v>
      </c>
      <c r="H56" s="4" t="s">
        <v>365</v>
      </c>
      <c r="I56" s="4" t="s">
        <v>366</v>
      </c>
      <c r="J56" s="4" t="s">
        <v>454</v>
      </c>
      <c r="K56" s="4" t="s">
        <v>186</v>
      </c>
      <c r="L56" s="4" t="s">
        <v>187</v>
      </c>
      <c r="Z56" s="38" t="s">
        <v>467</v>
      </c>
      <c r="AA56" s="2" t="s">
        <v>115</v>
      </c>
      <c r="AB56" s="2" t="s">
        <v>116</v>
      </c>
      <c r="AC56" s="4" t="s">
        <v>117</v>
      </c>
      <c r="AD56" s="4" t="s">
        <v>118</v>
      </c>
      <c r="AE56" s="2" t="s">
        <v>456</v>
      </c>
      <c r="AF56" s="2" t="s">
        <v>457</v>
      </c>
      <c r="AG56" s="2" t="s">
        <v>458</v>
      </c>
      <c r="AI56" s="4" t="s">
        <v>122</v>
      </c>
      <c r="AJ56" s="2" t="s">
        <v>394</v>
      </c>
      <c r="AK56" s="4" t="s">
        <v>443</v>
      </c>
      <c r="AM56" s="4" t="s">
        <v>436</v>
      </c>
      <c r="AN56" s="4" t="s">
        <v>460</v>
      </c>
      <c r="AO56" s="4" t="s">
        <v>468</v>
      </c>
      <c r="AP56" s="4" t="str">
        <f t="array" ref="AP56">XLOOKUP(TRUE, CHOOSECOLS(A56:V56, 1, 4, 7, 10, 13, 16, 19, 22)&lt;&gt;"", CHOOSECOLS(A56:V56, 1, 4, 7, 10, 13, 16, 19, 22), "", 0, -1)</f>
        <v>Lung volume–PVR U curve</v>
      </c>
      <c r="AQ56" s="2"/>
      <c r="AR56" s="2" t="s">
        <v>129</v>
      </c>
      <c r="AS56" s="4" t="s">
        <v>130</v>
      </c>
      <c r="AT56" s="4" t="s">
        <v>424</v>
      </c>
      <c r="AU56" s="4" t="s">
        <v>425</v>
      </c>
      <c r="AV56" s="4" t="s">
        <v>426</v>
      </c>
      <c r="BF56" s="4" t="s">
        <v>462</v>
      </c>
      <c r="BR56" s="4" t="s">
        <v>136</v>
      </c>
      <c r="BS56" s="4" t="s">
        <v>463</v>
      </c>
      <c r="BT56" s="4">
        <v>4.0</v>
      </c>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row>
    <row r="57">
      <c r="A57" s="4" t="s">
        <v>105</v>
      </c>
      <c r="B57" s="4" t="s">
        <v>105</v>
      </c>
      <c r="C57" s="4" t="s">
        <v>469</v>
      </c>
      <c r="D57" s="4" t="s">
        <v>361</v>
      </c>
      <c r="E57" s="4" t="s">
        <v>362</v>
      </c>
      <c r="F57" s="4" t="s">
        <v>363</v>
      </c>
      <c r="G57" s="4" t="s">
        <v>364</v>
      </c>
      <c r="H57" s="4" t="s">
        <v>365</v>
      </c>
      <c r="I57" s="4" t="s">
        <v>366</v>
      </c>
      <c r="J57" s="4" t="s">
        <v>470</v>
      </c>
      <c r="K57" s="4" t="s">
        <v>471</v>
      </c>
      <c r="L57" s="4" t="s">
        <v>472</v>
      </c>
      <c r="Z57" s="2" t="s">
        <v>473</v>
      </c>
      <c r="AA57" s="2" t="s">
        <v>115</v>
      </c>
      <c r="AB57" s="2" t="s">
        <v>116</v>
      </c>
      <c r="AC57" s="4" t="s">
        <v>117</v>
      </c>
      <c r="AD57" s="4" t="s">
        <v>118</v>
      </c>
      <c r="AE57" s="2" t="s">
        <v>456</v>
      </c>
      <c r="AF57" s="2" t="s">
        <v>457</v>
      </c>
      <c r="AG57" s="2" t="s">
        <v>458</v>
      </c>
      <c r="AI57" s="4" t="s">
        <v>122</v>
      </c>
      <c r="AJ57" s="2" t="s">
        <v>140</v>
      </c>
      <c r="AK57" s="4" t="s">
        <v>474</v>
      </c>
      <c r="AL57" s="4" t="s">
        <v>475</v>
      </c>
      <c r="AM57" s="4" t="s">
        <v>198</v>
      </c>
      <c r="AN57" s="4" t="s">
        <v>476</v>
      </c>
      <c r="AO57" s="4" t="s">
        <v>477</v>
      </c>
      <c r="AP57" s="4" t="str">
        <f t="array" ref="AP57">XLOOKUP(TRUE, CHOOSECOLS(A57:V57, 1, 4, 7, 10, 13, 16, 19, 22)&lt;&gt;"", CHOOSECOLS(A57:V57, 1, 4, 7, 10, 13, 16, 19, 22), "", 0, -1)</f>
        <v>Measure total pulmonary blood flow</v>
      </c>
      <c r="AQ57" s="2"/>
      <c r="AR57" s="2" t="s">
        <v>129</v>
      </c>
      <c r="AS57" s="4" t="s">
        <v>331</v>
      </c>
      <c r="AT57" s="4" t="s">
        <v>478</v>
      </c>
      <c r="AW57" s="4" t="s">
        <v>479</v>
      </c>
      <c r="BF57" s="4" t="s">
        <v>480</v>
      </c>
      <c r="BR57" s="4" t="s">
        <v>136</v>
      </c>
      <c r="BS57" s="4" t="s">
        <v>481</v>
      </c>
      <c r="BT57" s="4">
        <v>4.0</v>
      </c>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row>
    <row r="58" ht="15.75" customHeight="1">
      <c r="A58" s="4" t="s">
        <v>105</v>
      </c>
      <c r="B58" s="4" t="s">
        <v>105</v>
      </c>
      <c r="C58" s="4" t="s">
        <v>469</v>
      </c>
      <c r="D58" s="4" t="s">
        <v>361</v>
      </c>
      <c r="E58" s="4" t="s">
        <v>362</v>
      </c>
      <c r="F58" s="4" t="s">
        <v>363</v>
      </c>
      <c r="G58" s="4" t="s">
        <v>364</v>
      </c>
      <c r="H58" s="4" t="s">
        <v>365</v>
      </c>
      <c r="I58" s="4" t="s">
        <v>366</v>
      </c>
      <c r="J58" s="4" t="s">
        <v>470</v>
      </c>
      <c r="K58" s="4" t="s">
        <v>471</v>
      </c>
      <c r="L58" s="4" t="s">
        <v>472</v>
      </c>
      <c r="Z58" s="2" t="s">
        <v>482</v>
      </c>
      <c r="AA58" s="2" t="s">
        <v>115</v>
      </c>
      <c r="AB58" s="2" t="s">
        <v>116</v>
      </c>
      <c r="AC58" s="4" t="s">
        <v>117</v>
      </c>
      <c r="AD58" s="4" t="s">
        <v>118</v>
      </c>
      <c r="AE58" s="2" t="s">
        <v>456</v>
      </c>
      <c r="AF58" s="2" t="s">
        <v>457</v>
      </c>
      <c r="AG58" s="2" t="s">
        <v>458</v>
      </c>
      <c r="AI58" s="4" t="s">
        <v>122</v>
      </c>
      <c r="AJ58" s="2" t="s">
        <v>140</v>
      </c>
      <c r="AK58" s="4" t="s">
        <v>483</v>
      </c>
      <c r="AL58" s="4" t="s">
        <v>484</v>
      </c>
      <c r="AM58" s="4" t="s">
        <v>182</v>
      </c>
      <c r="AN58" s="4" t="s">
        <v>476</v>
      </c>
      <c r="AO58" s="4" t="s">
        <v>485</v>
      </c>
      <c r="AP58" s="4" t="str">
        <f t="array" ref="AP58">XLOOKUP(TRUE, CHOOSECOLS(A58:V58, 1, 4, 7, 10, 13, 16, 19, 22)&lt;&gt;"", CHOOSECOLS(A58:V58, 1, 4, 7, 10, 13, 16, 19, 22), "", 0, -1)</f>
        <v>Measure total pulmonary blood flow</v>
      </c>
      <c r="AQ58" s="2"/>
      <c r="AR58" s="2" t="s">
        <v>129</v>
      </c>
      <c r="AS58" s="4" t="s">
        <v>331</v>
      </c>
      <c r="AT58" s="4" t="s">
        <v>478</v>
      </c>
      <c r="AW58" s="4" t="s">
        <v>479</v>
      </c>
      <c r="BF58" s="4" t="s">
        <v>480</v>
      </c>
      <c r="BR58" s="4" t="s">
        <v>136</v>
      </c>
      <c r="BS58" s="4" t="s">
        <v>481</v>
      </c>
      <c r="BT58" s="4">
        <v>4.0</v>
      </c>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row>
    <row r="59" ht="15.75" customHeight="1">
      <c r="A59" s="4" t="s">
        <v>105</v>
      </c>
      <c r="B59" s="4" t="s">
        <v>105</v>
      </c>
      <c r="C59" s="4" t="s">
        <v>469</v>
      </c>
      <c r="D59" s="4" t="s">
        <v>361</v>
      </c>
      <c r="E59" s="4" t="s">
        <v>362</v>
      </c>
      <c r="F59" s="4" t="s">
        <v>363</v>
      </c>
      <c r="G59" s="4" t="s">
        <v>364</v>
      </c>
      <c r="H59" s="4" t="s">
        <v>365</v>
      </c>
      <c r="I59" s="4" t="s">
        <v>366</v>
      </c>
      <c r="J59" s="4" t="s">
        <v>470</v>
      </c>
      <c r="K59" s="4" t="s">
        <v>471</v>
      </c>
      <c r="L59" s="4" t="s">
        <v>472</v>
      </c>
      <c r="Z59" s="2" t="s">
        <v>486</v>
      </c>
      <c r="AA59" s="2" t="s">
        <v>115</v>
      </c>
      <c r="AB59" s="2" t="s">
        <v>116</v>
      </c>
      <c r="AC59" s="4" t="s">
        <v>117</v>
      </c>
      <c r="AD59" s="4" t="s">
        <v>118</v>
      </c>
      <c r="AE59" s="2" t="s">
        <v>456</v>
      </c>
      <c r="AF59" s="2" t="s">
        <v>457</v>
      </c>
      <c r="AG59" s="2" t="s">
        <v>458</v>
      </c>
      <c r="AI59" s="4" t="s">
        <v>122</v>
      </c>
      <c r="AJ59" s="2" t="s">
        <v>487</v>
      </c>
      <c r="AK59" s="4" t="s">
        <v>483</v>
      </c>
      <c r="AM59" s="4" t="s">
        <v>182</v>
      </c>
      <c r="AN59" s="2" t="s">
        <v>476</v>
      </c>
      <c r="AO59" s="4" t="s">
        <v>488</v>
      </c>
      <c r="AP59" s="4" t="str">
        <f t="array" ref="AP59">XLOOKUP(TRUE, CHOOSECOLS(A59:V59, 1, 4, 7, 10, 13, 16, 19, 22)&lt;&gt;"", CHOOSECOLS(A59:V59, 1, 4, 7, 10, 13, 16, 19, 22), "", 0, -1)</f>
        <v>Measure total pulmonary blood flow</v>
      </c>
      <c r="AQ59" s="2"/>
      <c r="AR59" s="2" t="s">
        <v>129</v>
      </c>
      <c r="AS59" s="4" t="s">
        <v>331</v>
      </c>
      <c r="AT59" s="4" t="s">
        <v>478</v>
      </c>
      <c r="AW59" s="4" t="s">
        <v>479</v>
      </c>
      <c r="BF59" s="4" t="s">
        <v>480</v>
      </c>
      <c r="BR59" s="4" t="s">
        <v>136</v>
      </c>
      <c r="BS59" s="4" t="s">
        <v>481</v>
      </c>
      <c r="BT59" s="4">
        <v>4.0</v>
      </c>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row>
    <row r="60">
      <c r="A60" s="4" t="s">
        <v>105</v>
      </c>
      <c r="B60" s="4" t="s">
        <v>105</v>
      </c>
      <c r="C60" s="4" t="s">
        <v>489</v>
      </c>
      <c r="D60" s="4" t="s">
        <v>361</v>
      </c>
      <c r="E60" s="4" t="s">
        <v>362</v>
      </c>
      <c r="F60" s="4" t="s">
        <v>363</v>
      </c>
      <c r="G60" s="4" t="s">
        <v>364</v>
      </c>
      <c r="H60" s="4" t="s">
        <v>365</v>
      </c>
      <c r="I60" s="4" t="s">
        <v>366</v>
      </c>
      <c r="J60" s="4" t="s">
        <v>490</v>
      </c>
      <c r="Z60" s="2" t="s">
        <v>491</v>
      </c>
      <c r="AA60" s="2" t="s">
        <v>115</v>
      </c>
      <c r="AB60" s="2" t="s">
        <v>116</v>
      </c>
      <c r="AC60" s="4" t="s">
        <v>117</v>
      </c>
      <c r="AD60" s="4" t="s">
        <v>118</v>
      </c>
      <c r="AE60" s="2" t="s">
        <v>456</v>
      </c>
      <c r="AF60" s="2" t="s">
        <v>457</v>
      </c>
      <c r="AG60" s="2" t="s">
        <v>458</v>
      </c>
      <c r="AI60" s="4" t="s">
        <v>357</v>
      </c>
      <c r="AJ60" s="2" t="s">
        <v>232</v>
      </c>
      <c r="AK60" s="2" t="s">
        <v>314</v>
      </c>
      <c r="AM60" s="4" t="s">
        <v>182</v>
      </c>
      <c r="AN60" s="4" t="s">
        <v>492</v>
      </c>
      <c r="AO60" s="2" t="s">
        <v>493</v>
      </c>
      <c r="AP60" s="4" t="str">
        <f t="array" ref="AP60">XLOOKUP(TRUE, CHOOSECOLS(A60:V60, 1, 4, 7, 10, 13, 16, 19, 22)&lt;&gt;"", CHOOSECOLS(A60:V60, 1, 4, 7, 10, 13, 16, 19, 22), "", 0, -1)</f>
        <v>Gravity &amp; regional perfusion</v>
      </c>
      <c r="AQ60" s="2"/>
      <c r="AR60" s="2" t="s">
        <v>129</v>
      </c>
      <c r="AS60" s="4" t="s">
        <v>130</v>
      </c>
      <c r="AT60" s="4" t="s">
        <v>494</v>
      </c>
      <c r="BF60" s="4" t="s">
        <v>495</v>
      </c>
      <c r="BI60" s="4" t="s">
        <v>496</v>
      </c>
      <c r="BM60" s="4" t="s">
        <v>497</v>
      </c>
      <c r="BR60" s="4" t="s">
        <v>136</v>
      </c>
      <c r="BS60" s="4" t="s">
        <v>498</v>
      </c>
      <c r="BT60" s="4">
        <v>4.0</v>
      </c>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row>
    <row r="61">
      <c r="A61" s="4" t="s">
        <v>105</v>
      </c>
      <c r="B61" s="4" t="s">
        <v>105</v>
      </c>
      <c r="C61" s="4" t="s">
        <v>489</v>
      </c>
      <c r="D61" s="4" t="s">
        <v>361</v>
      </c>
      <c r="E61" s="4" t="s">
        <v>362</v>
      </c>
      <c r="F61" s="4" t="s">
        <v>363</v>
      </c>
      <c r="G61" s="4" t="s">
        <v>364</v>
      </c>
      <c r="H61" s="4" t="s">
        <v>365</v>
      </c>
      <c r="I61" s="4" t="s">
        <v>366</v>
      </c>
      <c r="J61" s="4" t="s">
        <v>490</v>
      </c>
      <c r="Z61" s="2" t="s">
        <v>499</v>
      </c>
      <c r="AA61" s="2" t="s">
        <v>115</v>
      </c>
      <c r="AB61" s="2" t="s">
        <v>116</v>
      </c>
      <c r="AC61" s="4" t="s">
        <v>117</v>
      </c>
      <c r="AD61" s="4" t="s">
        <v>118</v>
      </c>
      <c r="AE61" s="2" t="s">
        <v>456</v>
      </c>
      <c r="AF61" s="2" t="s">
        <v>457</v>
      </c>
      <c r="AG61" s="2" t="s">
        <v>458</v>
      </c>
      <c r="AI61" s="4" t="s">
        <v>312</v>
      </c>
      <c r="AJ61" s="2" t="s">
        <v>500</v>
      </c>
      <c r="AK61" s="4" t="s">
        <v>501</v>
      </c>
      <c r="AM61" s="4" t="s">
        <v>502</v>
      </c>
      <c r="AN61" s="4" t="s">
        <v>492</v>
      </c>
      <c r="AO61" s="4" t="s">
        <v>503</v>
      </c>
      <c r="AP61" s="4" t="str">
        <f t="array" ref="AP61">XLOOKUP(TRUE, CHOOSECOLS(A61:V61, 1, 4, 7, 10, 13, 16, 19, 22)&lt;&gt;"", CHOOSECOLS(A61:V61, 1, 4, 7, 10, 13, 16, 19, 22), "", 0, -1)</f>
        <v>Gravity &amp; regional perfusion</v>
      </c>
      <c r="AQ61" s="2"/>
      <c r="AR61" s="2" t="s">
        <v>129</v>
      </c>
      <c r="AS61" s="4" t="s">
        <v>130</v>
      </c>
      <c r="AT61" s="4" t="s">
        <v>494</v>
      </c>
      <c r="BF61" s="4" t="s">
        <v>495</v>
      </c>
      <c r="BI61" s="4" t="s">
        <v>496</v>
      </c>
      <c r="BM61" s="4" t="s">
        <v>497</v>
      </c>
      <c r="BR61" s="4" t="s">
        <v>136</v>
      </c>
      <c r="BS61" s="4" t="s">
        <v>498</v>
      </c>
      <c r="BT61" s="4">
        <v>4.0</v>
      </c>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row>
    <row r="62">
      <c r="A62" s="4" t="s">
        <v>105</v>
      </c>
      <c r="B62" s="4" t="s">
        <v>105</v>
      </c>
      <c r="C62" s="4" t="s">
        <v>489</v>
      </c>
      <c r="D62" s="4" t="s">
        <v>361</v>
      </c>
      <c r="E62" s="4" t="s">
        <v>362</v>
      </c>
      <c r="F62" s="4" t="s">
        <v>363</v>
      </c>
      <c r="G62" s="4" t="s">
        <v>364</v>
      </c>
      <c r="H62" s="4" t="s">
        <v>365</v>
      </c>
      <c r="I62" s="4" t="s">
        <v>366</v>
      </c>
      <c r="J62" s="4" t="s">
        <v>490</v>
      </c>
      <c r="Z62" s="2" t="s">
        <v>504</v>
      </c>
      <c r="AA62" s="2" t="s">
        <v>115</v>
      </c>
      <c r="AB62" s="2" t="s">
        <v>116</v>
      </c>
      <c r="AC62" s="4" t="s">
        <v>117</v>
      </c>
      <c r="AD62" s="4" t="s">
        <v>118</v>
      </c>
      <c r="AE62" s="2" t="s">
        <v>456</v>
      </c>
      <c r="AF62" s="2" t="s">
        <v>457</v>
      </c>
      <c r="AG62" s="2" t="s">
        <v>458</v>
      </c>
      <c r="AI62" s="4" t="s">
        <v>312</v>
      </c>
      <c r="AJ62" s="2" t="s">
        <v>500</v>
      </c>
      <c r="AK62" s="4" t="s">
        <v>501</v>
      </c>
      <c r="AN62" s="4" t="s">
        <v>492</v>
      </c>
      <c r="AO62" s="4" t="s">
        <v>505</v>
      </c>
      <c r="AP62" s="4" t="str">
        <f t="array" ref="AP62">XLOOKUP(TRUE, CHOOSECOLS(A62:V62, 1, 4, 7, 10, 13, 16, 19, 22)&lt;&gt;"", CHOOSECOLS(A62:V62, 1, 4, 7, 10, 13, 16, 19, 22), "", 0, -1)</f>
        <v>Gravity &amp; regional perfusion</v>
      </c>
      <c r="AQ62" s="2"/>
      <c r="AR62" s="2" t="s">
        <v>129</v>
      </c>
      <c r="AS62" s="4" t="s">
        <v>130</v>
      </c>
      <c r="AT62" s="4" t="s">
        <v>494</v>
      </c>
      <c r="BF62" s="4" t="s">
        <v>495</v>
      </c>
      <c r="BI62" s="4" t="s">
        <v>496</v>
      </c>
      <c r="BM62" s="4" t="s">
        <v>497</v>
      </c>
      <c r="BR62" s="4" t="s">
        <v>136</v>
      </c>
      <c r="BS62" s="4" t="s">
        <v>498</v>
      </c>
      <c r="BT62" s="4">
        <v>4.0</v>
      </c>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row>
    <row r="63">
      <c r="A63" s="4" t="s">
        <v>105</v>
      </c>
      <c r="B63" s="4" t="s">
        <v>105</v>
      </c>
      <c r="C63" s="4" t="s">
        <v>506</v>
      </c>
      <c r="D63" s="4" t="s">
        <v>361</v>
      </c>
      <c r="E63" s="4" t="s">
        <v>362</v>
      </c>
      <c r="F63" s="4" t="s">
        <v>363</v>
      </c>
      <c r="G63" s="4" t="s">
        <v>364</v>
      </c>
      <c r="H63" s="4" t="s">
        <v>365</v>
      </c>
      <c r="I63" s="4" t="s">
        <v>366</v>
      </c>
      <c r="J63" s="4" t="s">
        <v>507</v>
      </c>
      <c r="Z63" s="2" t="s">
        <v>508</v>
      </c>
      <c r="AA63" s="2" t="s">
        <v>509</v>
      </c>
      <c r="AB63" s="2" t="s">
        <v>116</v>
      </c>
      <c r="AC63" s="4" t="s">
        <v>117</v>
      </c>
      <c r="AD63" s="4" t="s">
        <v>118</v>
      </c>
      <c r="AE63" s="39" t="s">
        <v>510</v>
      </c>
      <c r="AF63" s="4" t="s">
        <v>511</v>
      </c>
      <c r="AG63" s="4" t="s">
        <v>512</v>
      </c>
      <c r="AI63" s="4" t="s">
        <v>312</v>
      </c>
      <c r="AJ63" s="2" t="s">
        <v>513</v>
      </c>
      <c r="AK63" s="4" t="s">
        <v>514</v>
      </c>
      <c r="AM63" s="4" t="s">
        <v>515</v>
      </c>
      <c r="AN63" s="4" t="s">
        <v>516</v>
      </c>
      <c r="AO63" s="4" t="s">
        <v>517</v>
      </c>
      <c r="AP63" s="4" t="str">
        <f t="array" ref="AP63">XLOOKUP(TRUE, CHOOSECOLS(A63:V63, 1, 4, 7, 10, 13, 16, 19, 22)&lt;&gt;"", CHOOSECOLS(A63:V63, 1, 4, 7, 10, 13, 16, 19, 22), "", 0, -1)</f>
        <v>Active vasomotor control</v>
      </c>
      <c r="AQ63" s="2"/>
      <c r="AR63" s="2" t="s">
        <v>518</v>
      </c>
      <c r="AS63" s="4" t="s">
        <v>130</v>
      </c>
      <c r="AT63" s="4" t="s">
        <v>519</v>
      </c>
      <c r="AW63" s="4" t="s">
        <v>520</v>
      </c>
      <c r="BF63" s="2" t="s">
        <v>521</v>
      </c>
      <c r="BI63" s="4" t="s">
        <v>522</v>
      </c>
      <c r="BR63" s="4" t="s">
        <v>136</v>
      </c>
      <c r="BS63" s="4" t="s">
        <v>523</v>
      </c>
      <c r="BT63" s="4">
        <v>4.0</v>
      </c>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row>
    <row r="64">
      <c r="A64" s="4" t="s">
        <v>105</v>
      </c>
      <c r="B64" s="4" t="s">
        <v>105</v>
      </c>
      <c r="C64" s="4" t="s">
        <v>506</v>
      </c>
      <c r="D64" s="4" t="s">
        <v>361</v>
      </c>
      <c r="E64" s="4" t="s">
        <v>362</v>
      </c>
      <c r="F64" s="4" t="s">
        <v>363</v>
      </c>
      <c r="G64" s="4" t="s">
        <v>364</v>
      </c>
      <c r="H64" s="4" t="s">
        <v>365</v>
      </c>
      <c r="I64" s="4" t="s">
        <v>366</v>
      </c>
      <c r="J64" s="4" t="s">
        <v>507</v>
      </c>
      <c r="Z64" s="2" t="s">
        <v>524</v>
      </c>
      <c r="AA64" s="2" t="s">
        <v>509</v>
      </c>
      <c r="AB64" s="2" t="s">
        <v>116</v>
      </c>
      <c r="AC64" s="4" t="s">
        <v>117</v>
      </c>
      <c r="AD64" s="4" t="s">
        <v>118</v>
      </c>
      <c r="AE64" s="4" t="s">
        <v>525</v>
      </c>
      <c r="AF64" s="4" t="s">
        <v>525</v>
      </c>
      <c r="AG64" s="4" t="s">
        <v>526</v>
      </c>
      <c r="AI64" s="4" t="s">
        <v>312</v>
      </c>
      <c r="AJ64" s="2" t="s">
        <v>394</v>
      </c>
      <c r="AK64" s="2" t="s">
        <v>527</v>
      </c>
      <c r="AM64" s="4" t="s">
        <v>528</v>
      </c>
      <c r="AN64" s="4" t="s">
        <v>516</v>
      </c>
      <c r="AO64" s="4" t="s">
        <v>529</v>
      </c>
      <c r="AP64" s="4" t="str">
        <f t="array" ref="AP64">XLOOKUP(TRUE, CHOOSECOLS(A64:V64, 1, 4, 7, 10, 13, 16, 19, 22)&lt;&gt;"", CHOOSECOLS(A64:V64, 1, 4, 7, 10, 13, 16, 19, 22), "", 0, -1)</f>
        <v>Active vasomotor control</v>
      </c>
      <c r="AQ64" s="2"/>
      <c r="AR64" s="2" t="s">
        <v>518</v>
      </c>
      <c r="AS64" s="4" t="s">
        <v>130</v>
      </c>
      <c r="AT64" s="4" t="s">
        <v>519</v>
      </c>
      <c r="AW64" s="4" t="s">
        <v>520</v>
      </c>
      <c r="BF64" s="4" t="s">
        <v>521</v>
      </c>
      <c r="BI64" s="4" t="s">
        <v>522</v>
      </c>
      <c r="BR64" s="4" t="s">
        <v>136</v>
      </c>
      <c r="BS64" s="4" t="s">
        <v>523</v>
      </c>
      <c r="BT64" s="4">
        <v>4.0</v>
      </c>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row>
    <row r="65">
      <c r="A65" s="4" t="s">
        <v>105</v>
      </c>
      <c r="B65" s="4" t="s">
        <v>105</v>
      </c>
      <c r="C65" s="4" t="s">
        <v>506</v>
      </c>
      <c r="D65" s="4" t="s">
        <v>361</v>
      </c>
      <c r="E65" s="4" t="s">
        <v>362</v>
      </c>
      <c r="F65" s="4" t="s">
        <v>363</v>
      </c>
      <c r="G65" s="4" t="s">
        <v>364</v>
      </c>
      <c r="H65" s="4" t="s">
        <v>365</v>
      </c>
      <c r="I65" s="4" t="s">
        <v>366</v>
      </c>
      <c r="J65" s="4" t="s">
        <v>507</v>
      </c>
      <c r="Z65" s="2" t="s">
        <v>530</v>
      </c>
      <c r="AA65" s="2" t="s">
        <v>115</v>
      </c>
      <c r="AB65" s="2" t="s">
        <v>116</v>
      </c>
      <c r="AC65" s="4" t="s">
        <v>117</v>
      </c>
      <c r="AD65" s="4" t="s">
        <v>118</v>
      </c>
      <c r="AE65" s="2" t="s">
        <v>116</v>
      </c>
      <c r="AF65" s="4" t="s">
        <v>117</v>
      </c>
      <c r="AG65" s="4" t="s">
        <v>118</v>
      </c>
      <c r="AI65" s="4" t="s">
        <v>312</v>
      </c>
      <c r="AJ65" s="2" t="s">
        <v>531</v>
      </c>
      <c r="AK65" s="2" t="s">
        <v>532</v>
      </c>
      <c r="AM65" s="4" t="s">
        <v>182</v>
      </c>
      <c r="AN65" s="4" t="s">
        <v>516</v>
      </c>
      <c r="AO65" s="4" t="s">
        <v>533</v>
      </c>
      <c r="AP65" s="4" t="str">
        <f t="array" ref="AP65">XLOOKUP(TRUE, CHOOSECOLS(A65:V65, 1, 4, 7, 10, 13, 16, 19, 22)&lt;&gt;"", CHOOSECOLS(A65:V65, 1, 4, 7, 10, 13, 16, 19, 22), "", 0, -1)</f>
        <v>Active vasomotor control</v>
      </c>
      <c r="AQ65" s="2"/>
      <c r="AR65" s="2" t="s">
        <v>129</v>
      </c>
      <c r="AS65" s="4" t="s">
        <v>130</v>
      </c>
      <c r="AT65" s="4" t="s">
        <v>519</v>
      </c>
      <c r="AW65" s="4" t="s">
        <v>520</v>
      </c>
      <c r="BF65" s="4" t="s">
        <v>521</v>
      </c>
      <c r="BI65" s="4" t="s">
        <v>522</v>
      </c>
      <c r="BR65" s="4" t="s">
        <v>136</v>
      </c>
      <c r="BS65" s="4" t="s">
        <v>523</v>
      </c>
      <c r="BT65" s="4">
        <v>4.0</v>
      </c>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row>
    <row r="66">
      <c r="A66" s="4" t="s">
        <v>105</v>
      </c>
      <c r="B66" s="4" t="s">
        <v>105</v>
      </c>
      <c r="C66" s="4" t="s">
        <v>534</v>
      </c>
      <c r="D66" s="4" t="s">
        <v>361</v>
      </c>
      <c r="E66" s="4" t="s">
        <v>362</v>
      </c>
      <c r="F66" s="4" t="s">
        <v>363</v>
      </c>
      <c r="G66" s="4" t="s">
        <v>364</v>
      </c>
      <c r="H66" s="4" t="s">
        <v>365</v>
      </c>
      <c r="I66" s="4" t="s">
        <v>366</v>
      </c>
      <c r="J66" s="4" t="s">
        <v>535</v>
      </c>
      <c r="Z66" s="2" t="s">
        <v>536</v>
      </c>
      <c r="AA66" s="2" t="s">
        <v>509</v>
      </c>
      <c r="AB66" s="2" t="s">
        <v>116</v>
      </c>
      <c r="AC66" s="4" t="s">
        <v>117</v>
      </c>
      <c r="AD66" s="4" t="s">
        <v>118</v>
      </c>
      <c r="AE66" s="2" t="s">
        <v>537</v>
      </c>
      <c r="AF66" s="2" t="s">
        <v>511</v>
      </c>
      <c r="AG66" s="4" t="s">
        <v>512</v>
      </c>
      <c r="AH66" s="4" t="s">
        <v>538</v>
      </c>
      <c r="AI66" s="4" t="s">
        <v>312</v>
      </c>
      <c r="AJ66" s="2" t="s">
        <v>394</v>
      </c>
      <c r="AK66" s="4" t="s">
        <v>539</v>
      </c>
      <c r="AM66" s="4" t="s">
        <v>256</v>
      </c>
      <c r="AN66" s="4" t="s">
        <v>540</v>
      </c>
      <c r="AO66" s="4" t="s">
        <v>541</v>
      </c>
      <c r="AP66" s="4" t="str">
        <f t="array" ref="AP66">XLOOKUP(TRUE, CHOOSECOLS(A66:V66, 1, 4, 7, 10, 13, 16, 19, 22)&lt;&gt;"", CHOOSECOLS(A66:V66, 1, 4, 7, 10, 13, 16, 19, 22), "", 0, -1)</f>
        <v>Other tone modifiers</v>
      </c>
      <c r="AQ66" s="4" t="s">
        <v>542</v>
      </c>
      <c r="AR66" s="4" t="s">
        <v>542</v>
      </c>
      <c r="AS66" s="4" t="s">
        <v>543</v>
      </c>
      <c r="AT66" s="4" t="s">
        <v>544</v>
      </c>
      <c r="AW66" s="4" t="s">
        <v>375</v>
      </c>
      <c r="AX66" s="4" t="s">
        <v>376</v>
      </c>
      <c r="AY66" s="4" t="s">
        <v>377</v>
      </c>
      <c r="BF66" s="4" t="s">
        <v>545</v>
      </c>
      <c r="BR66" s="4" t="s">
        <v>136</v>
      </c>
      <c r="BS66" s="4" t="s">
        <v>546</v>
      </c>
      <c r="BT66" s="4">
        <v>4.0</v>
      </c>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row>
    <row r="67">
      <c r="A67" s="4" t="s">
        <v>105</v>
      </c>
      <c r="B67" s="4" t="s">
        <v>105</v>
      </c>
      <c r="C67" s="4" t="s">
        <v>534</v>
      </c>
      <c r="D67" s="4" t="s">
        <v>361</v>
      </c>
      <c r="E67" s="4" t="s">
        <v>362</v>
      </c>
      <c r="F67" s="4" t="s">
        <v>363</v>
      </c>
      <c r="G67" s="4" t="s">
        <v>364</v>
      </c>
      <c r="H67" s="4" t="s">
        <v>365</v>
      </c>
      <c r="I67" s="4" t="s">
        <v>366</v>
      </c>
      <c r="J67" s="4" t="s">
        <v>535</v>
      </c>
      <c r="Z67" s="2" t="s">
        <v>547</v>
      </c>
      <c r="AA67" s="2" t="s">
        <v>509</v>
      </c>
      <c r="AB67" s="2" t="s">
        <v>116</v>
      </c>
      <c r="AC67" s="4" t="s">
        <v>117</v>
      </c>
      <c r="AD67" s="4" t="s">
        <v>118</v>
      </c>
      <c r="AE67" s="2" t="s">
        <v>537</v>
      </c>
      <c r="AF67" s="4" t="s">
        <v>511</v>
      </c>
      <c r="AG67" s="4" t="s">
        <v>512</v>
      </c>
      <c r="AH67" s="4" t="s">
        <v>548</v>
      </c>
      <c r="AI67" s="4" t="s">
        <v>357</v>
      </c>
      <c r="AJ67" s="2" t="s">
        <v>394</v>
      </c>
      <c r="AK67" s="4" t="s">
        <v>539</v>
      </c>
      <c r="AM67" s="4" t="s">
        <v>256</v>
      </c>
      <c r="AN67" s="4" t="s">
        <v>540</v>
      </c>
      <c r="AO67" s="4" t="s">
        <v>549</v>
      </c>
      <c r="AP67" s="4" t="str">
        <f t="array" ref="AP67">XLOOKUP(TRUE, CHOOSECOLS(A67:V67, 1, 4, 7, 10, 13, 16, 19, 22)&lt;&gt;"", CHOOSECOLS(A67:V67, 1, 4, 7, 10, 13, 16, 19, 22), "", 0, -1)</f>
        <v>Other tone modifiers</v>
      </c>
      <c r="AQ67" s="4" t="s">
        <v>542</v>
      </c>
      <c r="AR67" s="4" t="s">
        <v>542</v>
      </c>
      <c r="AS67" s="4" t="s">
        <v>543</v>
      </c>
      <c r="AT67" s="4" t="s">
        <v>544</v>
      </c>
      <c r="AW67" s="4" t="s">
        <v>375</v>
      </c>
      <c r="AX67" s="4" t="s">
        <v>376</v>
      </c>
      <c r="AY67" s="4" t="s">
        <v>377</v>
      </c>
      <c r="BF67" s="4" t="s">
        <v>545</v>
      </c>
      <c r="BR67" s="4" t="s">
        <v>136</v>
      </c>
      <c r="BS67" s="4" t="s">
        <v>546</v>
      </c>
      <c r="BT67" s="4">
        <v>4.0</v>
      </c>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row>
    <row r="68">
      <c r="A68" s="4" t="s">
        <v>105</v>
      </c>
      <c r="B68" s="4" t="s">
        <v>105</v>
      </c>
      <c r="C68" s="4" t="s">
        <v>534</v>
      </c>
      <c r="D68" s="4" t="s">
        <v>361</v>
      </c>
      <c r="E68" s="4" t="s">
        <v>362</v>
      </c>
      <c r="F68" s="4" t="s">
        <v>363</v>
      </c>
      <c r="G68" s="4" t="s">
        <v>364</v>
      </c>
      <c r="H68" s="4" t="s">
        <v>365</v>
      </c>
      <c r="I68" s="4" t="s">
        <v>366</v>
      </c>
      <c r="J68" s="4" t="s">
        <v>535</v>
      </c>
      <c r="Z68" s="2" t="s">
        <v>550</v>
      </c>
      <c r="AA68" s="2" t="s">
        <v>509</v>
      </c>
      <c r="AB68" s="2" t="s">
        <v>116</v>
      </c>
      <c r="AC68" s="4" t="s">
        <v>117</v>
      </c>
      <c r="AD68" s="4" t="s">
        <v>118</v>
      </c>
      <c r="AE68" s="2" t="s">
        <v>537</v>
      </c>
      <c r="AF68" s="4" t="s">
        <v>525</v>
      </c>
      <c r="AG68" s="4" t="s">
        <v>526</v>
      </c>
      <c r="AI68" s="4" t="s">
        <v>122</v>
      </c>
      <c r="AJ68" s="2" t="s">
        <v>394</v>
      </c>
      <c r="AK68" s="4" t="s">
        <v>551</v>
      </c>
      <c r="AN68" s="4" t="s">
        <v>540</v>
      </c>
      <c r="AO68" s="4" t="s">
        <v>552</v>
      </c>
      <c r="AP68" s="4" t="str">
        <f t="array" ref="AP68">XLOOKUP(TRUE, CHOOSECOLS(A68:V68, 1, 4, 7, 10, 13, 16, 19, 22)&lt;&gt;"", CHOOSECOLS(A68:V68, 1, 4, 7, 10, 13, 16, 19, 22), "", 0, -1)</f>
        <v>Other tone modifiers</v>
      </c>
      <c r="AQ68" s="2"/>
      <c r="AR68" s="2" t="s">
        <v>518</v>
      </c>
      <c r="AS68" s="4" t="s">
        <v>543</v>
      </c>
      <c r="AT68" s="4" t="s">
        <v>544</v>
      </c>
      <c r="AW68" s="4" t="s">
        <v>375</v>
      </c>
      <c r="AX68" s="4" t="s">
        <v>376</v>
      </c>
      <c r="AY68" s="4" t="s">
        <v>377</v>
      </c>
      <c r="BF68" s="4" t="s">
        <v>545</v>
      </c>
      <c r="BR68" s="4" t="s">
        <v>136</v>
      </c>
      <c r="BS68" s="4" t="s">
        <v>546</v>
      </c>
      <c r="BT68" s="4">
        <v>4.0</v>
      </c>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row>
    <row r="69">
      <c r="A69" s="4" t="s">
        <v>105</v>
      </c>
      <c r="B69" s="4" t="s">
        <v>105</v>
      </c>
      <c r="C69" s="4" t="s">
        <v>553</v>
      </c>
      <c r="D69" s="4" t="s">
        <v>361</v>
      </c>
      <c r="E69" s="4" t="s">
        <v>362</v>
      </c>
      <c r="F69" s="4" t="s">
        <v>363</v>
      </c>
      <c r="G69" s="4" t="s">
        <v>364</v>
      </c>
      <c r="H69" s="4" t="s">
        <v>365</v>
      </c>
      <c r="I69" s="4" t="s">
        <v>366</v>
      </c>
      <c r="J69" s="4" t="s">
        <v>554</v>
      </c>
      <c r="Z69" s="2" t="s">
        <v>555</v>
      </c>
      <c r="AA69" s="2" t="s">
        <v>195</v>
      </c>
      <c r="AB69" s="2" t="s">
        <v>116</v>
      </c>
      <c r="AC69" s="4" t="s">
        <v>117</v>
      </c>
      <c r="AD69" s="4" t="s">
        <v>118</v>
      </c>
      <c r="AE69" s="4" t="s">
        <v>556</v>
      </c>
      <c r="AF69" s="4" t="s">
        <v>557</v>
      </c>
      <c r="AG69" s="4" t="s">
        <v>558</v>
      </c>
      <c r="AI69" s="4" t="s">
        <v>122</v>
      </c>
      <c r="AJ69" s="2" t="s">
        <v>559</v>
      </c>
      <c r="AK69" s="4" t="s">
        <v>560</v>
      </c>
      <c r="AM69" s="4" t="s">
        <v>198</v>
      </c>
      <c r="AN69" s="4" t="s">
        <v>561</v>
      </c>
      <c r="AO69" s="4" t="s">
        <v>562</v>
      </c>
      <c r="AP69" s="4" t="str">
        <f t="array" ref="AP69">XLOOKUP(TRUE, CHOOSECOLS(A69:V69, 1, 4, 7, 10, 13, 16, 19, 22)&lt;&gt;"", CHOOSECOLS(A69:V69, 1, 4, 7, 10, 13, 16, 19, 22), "", 0, -1)</f>
        <v>Fluid balance (Starling)</v>
      </c>
      <c r="AQ69" s="2"/>
      <c r="AR69" s="2" t="s">
        <v>201</v>
      </c>
      <c r="AS69" s="4" t="s">
        <v>543</v>
      </c>
      <c r="AT69" s="4" t="s">
        <v>563</v>
      </c>
      <c r="AW69" s="4" t="s">
        <v>564</v>
      </c>
      <c r="BF69" s="4" t="s">
        <v>565</v>
      </c>
      <c r="BR69" s="4" t="s">
        <v>136</v>
      </c>
      <c r="BS69" s="4" t="s">
        <v>566</v>
      </c>
      <c r="BT69" s="4">
        <v>4.0</v>
      </c>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row>
    <row r="70">
      <c r="A70" s="4" t="s">
        <v>105</v>
      </c>
      <c r="B70" s="4" t="s">
        <v>105</v>
      </c>
      <c r="C70" s="4" t="s">
        <v>553</v>
      </c>
      <c r="D70" s="4" t="s">
        <v>361</v>
      </c>
      <c r="E70" s="4" t="s">
        <v>362</v>
      </c>
      <c r="F70" s="4" t="s">
        <v>363</v>
      </c>
      <c r="G70" s="4" t="s">
        <v>364</v>
      </c>
      <c r="H70" s="4" t="s">
        <v>365</v>
      </c>
      <c r="I70" s="4" t="s">
        <v>366</v>
      </c>
      <c r="J70" s="4" t="s">
        <v>554</v>
      </c>
      <c r="Z70" s="2" t="s">
        <v>567</v>
      </c>
      <c r="AA70" s="2" t="s">
        <v>195</v>
      </c>
      <c r="AB70" s="2" t="s">
        <v>116</v>
      </c>
      <c r="AC70" s="4" t="s">
        <v>117</v>
      </c>
      <c r="AD70" s="4" t="s">
        <v>118</v>
      </c>
      <c r="AE70" s="4" t="s">
        <v>568</v>
      </c>
      <c r="AF70" s="4" t="s">
        <v>569</v>
      </c>
      <c r="AG70" s="4" t="s">
        <v>570</v>
      </c>
      <c r="AI70" s="4" t="s">
        <v>357</v>
      </c>
      <c r="AJ70" s="2" t="s">
        <v>571</v>
      </c>
      <c r="AK70" s="2" t="s">
        <v>572</v>
      </c>
      <c r="AN70" s="4" t="s">
        <v>561</v>
      </c>
      <c r="AO70" s="4" t="s">
        <v>573</v>
      </c>
      <c r="AP70" s="4" t="str">
        <f t="array" ref="AP70">XLOOKUP(TRUE, CHOOSECOLS(A70:V70, 1, 4, 7, 10, 13, 16, 19, 22)&lt;&gt;"", CHOOSECOLS(A70:V70, 1, 4, 7, 10, 13, 16, 19, 22), "", 0, -1)</f>
        <v>Fluid balance (Starling)</v>
      </c>
      <c r="AQ70" s="2"/>
      <c r="AR70" s="2" t="s">
        <v>201</v>
      </c>
      <c r="AS70" s="4" t="s">
        <v>543</v>
      </c>
      <c r="AT70" s="4" t="s">
        <v>563</v>
      </c>
      <c r="AW70" s="4" t="s">
        <v>564</v>
      </c>
      <c r="BF70" s="4" t="s">
        <v>565</v>
      </c>
      <c r="BR70" s="4" t="s">
        <v>136</v>
      </c>
      <c r="BS70" s="4" t="s">
        <v>566</v>
      </c>
      <c r="BT70" s="4">
        <v>4.0</v>
      </c>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row>
    <row r="71">
      <c r="A71" s="4" t="s">
        <v>105</v>
      </c>
      <c r="B71" s="4" t="s">
        <v>105</v>
      </c>
      <c r="C71" s="4" t="s">
        <v>553</v>
      </c>
      <c r="D71" s="4" t="s">
        <v>361</v>
      </c>
      <c r="E71" s="4" t="s">
        <v>362</v>
      </c>
      <c r="F71" s="4" t="s">
        <v>363</v>
      </c>
      <c r="G71" s="4" t="s">
        <v>364</v>
      </c>
      <c r="H71" s="4" t="s">
        <v>365</v>
      </c>
      <c r="I71" s="4" t="s">
        <v>366</v>
      </c>
      <c r="J71" s="4" t="s">
        <v>554</v>
      </c>
      <c r="Z71" s="2" t="s">
        <v>574</v>
      </c>
      <c r="AA71" s="2" t="s">
        <v>195</v>
      </c>
      <c r="AB71" s="2" t="s">
        <v>116</v>
      </c>
      <c r="AC71" s="4" t="s">
        <v>117</v>
      </c>
      <c r="AD71" s="4" t="s">
        <v>118</v>
      </c>
      <c r="AE71" s="4" t="s">
        <v>575</v>
      </c>
      <c r="AF71" s="4" t="s">
        <v>576</v>
      </c>
      <c r="AG71" s="4" t="s">
        <v>577</v>
      </c>
      <c r="AI71" s="4" t="s">
        <v>312</v>
      </c>
      <c r="AJ71" s="2" t="s">
        <v>578</v>
      </c>
      <c r="AK71" s="2" t="s">
        <v>579</v>
      </c>
      <c r="AM71" s="4" t="s">
        <v>198</v>
      </c>
      <c r="AN71" s="4" t="s">
        <v>561</v>
      </c>
      <c r="AO71" s="4" t="s">
        <v>580</v>
      </c>
      <c r="AP71" s="4" t="str">
        <f t="array" ref="AP71">XLOOKUP(TRUE, CHOOSECOLS(A71:V71, 1, 4, 7, 10, 13, 16, 19, 22)&lt;&gt;"", CHOOSECOLS(A71:V71, 1, 4, 7, 10, 13, 16, 19, 22), "", 0, -1)</f>
        <v>Fluid balance (Starling)</v>
      </c>
      <c r="AQ71" s="2"/>
      <c r="AR71" s="2" t="s">
        <v>201</v>
      </c>
      <c r="AS71" s="4" t="s">
        <v>543</v>
      </c>
      <c r="AT71" s="4" t="s">
        <v>563</v>
      </c>
      <c r="AW71" s="4" t="s">
        <v>564</v>
      </c>
      <c r="BF71" s="4" t="s">
        <v>565</v>
      </c>
      <c r="BR71" s="4" t="s">
        <v>136</v>
      </c>
      <c r="BS71" s="4" t="s">
        <v>566</v>
      </c>
      <c r="BT71" s="4">
        <v>4.0</v>
      </c>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row>
    <row r="72">
      <c r="A72" s="4" t="s">
        <v>105</v>
      </c>
      <c r="B72" s="4" t="s">
        <v>105</v>
      </c>
      <c r="C72" s="4" t="s">
        <v>581</v>
      </c>
      <c r="D72" s="4" t="s">
        <v>361</v>
      </c>
      <c r="E72" s="4" t="s">
        <v>362</v>
      </c>
      <c r="F72" s="4" t="s">
        <v>363</v>
      </c>
      <c r="G72" s="4" t="s">
        <v>364</v>
      </c>
      <c r="H72" s="4" t="s">
        <v>365</v>
      </c>
      <c r="I72" s="4" t="s">
        <v>366</v>
      </c>
      <c r="J72" s="4" t="s">
        <v>582</v>
      </c>
      <c r="Z72" s="2" t="s">
        <v>583</v>
      </c>
      <c r="AA72" s="2" t="s">
        <v>115</v>
      </c>
      <c r="AB72" s="2" t="s">
        <v>116</v>
      </c>
      <c r="AC72" s="4" t="s">
        <v>117</v>
      </c>
      <c r="AD72" s="4" t="s">
        <v>118</v>
      </c>
      <c r="AE72" s="2" t="s">
        <v>584</v>
      </c>
      <c r="AF72" s="4" t="s">
        <v>415</v>
      </c>
      <c r="AG72" s="4" t="s">
        <v>416</v>
      </c>
      <c r="AI72" s="4" t="s">
        <v>312</v>
      </c>
      <c r="AJ72" s="2" t="s">
        <v>585</v>
      </c>
      <c r="AK72" s="4" t="s">
        <v>586</v>
      </c>
      <c r="AM72" s="4" t="s">
        <v>150</v>
      </c>
      <c r="AN72" s="4" t="s">
        <v>587</v>
      </c>
      <c r="AO72" s="4" t="s">
        <v>588</v>
      </c>
      <c r="AP72" s="4" t="str">
        <f t="array" ref="AP72">XLOOKUP(TRUE, CHOOSECOLS(A72:V72, 1, 4, 7, 10, 13, 16, 19, 22)&lt;&gt;"", CHOOSECOLS(A72:V72, 1, 4, 7, 10, 13, 16, 19, 22), "", 0, -1)</f>
        <v>Reservoir &amp; filter</v>
      </c>
      <c r="AQ72" s="2"/>
      <c r="AR72" s="2" t="s">
        <v>129</v>
      </c>
      <c r="AS72" s="4" t="s">
        <v>543</v>
      </c>
      <c r="AT72" s="4" t="s">
        <v>375</v>
      </c>
      <c r="AU72" s="4" t="s">
        <v>376</v>
      </c>
      <c r="AV72" s="4" t="s">
        <v>377</v>
      </c>
      <c r="AW72" s="4" t="s">
        <v>589</v>
      </c>
      <c r="BF72" s="4" t="s">
        <v>590</v>
      </c>
      <c r="BR72" s="4" t="s">
        <v>136</v>
      </c>
      <c r="BS72" s="4" t="s">
        <v>591</v>
      </c>
      <c r="BT72" s="4">
        <v>4.0</v>
      </c>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row>
    <row r="73">
      <c r="A73" s="4" t="s">
        <v>105</v>
      </c>
      <c r="B73" s="4" t="s">
        <v>105</v>
      </c>
      <c r="C73" s="4" t="s">
        <v>581</v>
      </c>
      <c r="D73" s="4" t="s">
        <v>361</v>
      </c>
      <c r="E73" s="4" t="s">
        <v>362</v>
      </c>
      <c r="F73" s="4" t="s">
        <v>363</v>
      </c>
      <c r="G73" s="4" t="s">
        <v>364</v>
      </c>
      <c r="H73" s="4" t="s">
        <v>365</v>
      </c>
      <c r="I73" s="4" t="s">
        <v>366</v>
      </c>
      <c r="J73" s="4" t="s">
        <v>582</v>
      </c>
      <c r="Z73" s="2" t="s">
        <v>592</v>
      </c>
      <c r="AA73" s="2" t="s">
        <v>115</v>
      </c>
      <c r="AB73" s="2" t="s">
        <v>116</v>
      </c>
      <c r="AC73" s="4" t="s">
        <v>117</v>
      </c>
      <c r="AD73" s="4" t="s">
        <v>118</v>
      </c>
      <c r="AE73" s="2" t="s">
        <v>584</v>
      </c>
      <c r="AF73" s="4" t="s">
        <v>415</v>
      </c>
      <c r="AG73" s="4" t="s">
        <v>416</v>
      </c>
      <c r="AI73" s="4" t="s">
        <v>312</v>
      </c>
      <c r="AJ73" s="2" t="s">
        <v>593</v>
      </c>
      <c r="AK73" s="2" t="s">
        <v>594</v>
      </c>
      <c r="AM73" s="4" t="s">
        <v>198</v>
      </c>
      <c r="AN73" s="4" t="s">
        <v>587</v>
      </c>
      <c r="AO73" s="4" t="s">
        <v>595</v>
      </c>
      <c r="AP73" s="4" t="str">
        <f t="array" ref="AP73">XLOOKUP(TRUE, CHOOSECOLS(A73:V73, 1, 4, 7, 10, 13, 16, 19, 22)&lt;&gt;"", CHOOSECOLS(A73:V73, 1, 4, 7, 10, 13, 16, 19, 22), "", 0, -1)</f>
        <v>Reservoir &amp; filter</v>
      </c>
      <c r="AQ73" s="2"/>
      <c r="AR73" s="2" t="s">
        <v>129</v>
      </c>
      <c r="AS73" s="4" t="s">
        <v>543</v>
      </c>
      <c r="AT73" s="4" t="s">
        <v>375</v>
      </c>
      <c r="AU73" s="4" t="s">
        <v>376</v>
      </c>
      <c r="AV73" s="4" t="s">
        <v>377</v>
      </c>
      <c r="AW73" s="4" t="s">
        <v>589</v>
      </c>
      <c r="BF73" s="4" t="s">
        <v>590</v>
      </c>
      <c r="BR73" s="4" t="s">
        <v>136</v>
      </c>
      <c r="BS73" s="4" t="s">
        <v>591</v>
      </c>
      <c r="BT73" s="4">
        <v>4.0</v>
      </c>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row>
    <row r="74">
      <c r="A74" s="4" t="s">
        <v>105</v>
      </c>
      <c r="B74" s="4" t="s">
        <v>105</v>
      </c>
      <c r="C74" s="4" t="s">
        <v>581</v>
      </c>
      <c r="D74" s="4" t="s">
        <v>361</v>
      </c>
      <c r="E74" s="4" t="s">
        <v>362</v>
      </c>
      <c r="F74" s="4" t="s">
        <v>363</v>
      </c>
      <c r="G74" s="4" t="s">
        <v>364</v>
      </c>
      <c r="H74" s="4" t="s">
        <v>365</v>
      </c>
      <c r="I74" s="4" t="s">
        <v>366</v>
      </c>
      <c r="J74" s="4" t="s">
        <v>582</v>
      </c>
      <c r="Z74" s="2" t="s">
        <v>596</v>
      </c>
      <c r="AA74" s="2" t="s">
        <v>115</v>
      </c>
      <c r="AB74" s="2" t="s">
        <v>116</v>
      </c>
      <c r="AC74" s="4" t="s">
        <v>117</v>
      </c>
      <c r="AD74" s="4" t="s">
        <v>118</v>
      </c>
      <c r="AE74" s="2" t="s">
        <v>584</v>
      </c>
      <c r="AF74" s="4" t="s">
        <v>415</v>
      </c>
      <c r="AG74" s="4" t="s">
        <v>416</v>
      </c>
      <c r="AI74" s="4" t="s">
        <v>122</v>
      </c>
      <c r="AJ74" s="2" t="s">
        <v>394</v>
      </c>
      <c r="AK74" s="4" t="s">
        <v>597</v>
      </c>
      <c r="AN74" s="4" t="s">
        <v>587</v>
      </c>
      <c r="AO74" s="2" t="s">
        <v>598</v>
      </c>
      <c r="AP74" s="4" t="str">
        <f t="array" ref="AP74">XLOOKUP(TRUE, CHOOSECOLS(A74:V74, 1, 4, 7, 10, 13, 16, 19, 22)&lt;&gt;"", CHOOSECOLS(A74:V74, 1, 4, 7, 10, 13, 16, 19, 22), "", 0, -1)</f>
        <v>Reservoir &amp; filter</v>
      </c>
      <c r="AQ74" s="2"/>
      <c r="AR74" s="2" t="s">
        <v>129</v>
      </c>
      <c r="AS74" s="4" t="s">
        <v>543</v>
      </c>
      <c r="AT74" s="4" t="s">
        <v>375</v>
      </c>
      <c r="AU74" s="4" t="s">
        <v>376</v>
      </c>
      <c r="AV74" s="4" t="s">
        <v>377</v>
      </c>
      <c r="AW74" s="4" t="s">
        <v>589</v>
      </c>
      <c r="BF74" s="4" t="s">
        <v>590</v>
      </c>
      <c r="BR74" s="4" t="s">
        <v>136</v>
      </c>
      <c r="BS74" s="4" t="s">
        <v>591</v>
      </c>
      <c r="BT74" s="4">
        <v>4.0</v>
      </c>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row>
    <row r="75">
      <c r="A75" s="4" t="s">
        <v>105</v>
      </c>
      <c r="B75" s="4" t="s">
        <v>105</v>
      </c>
      <c r="C75" s="4" t="s">
        <v>599</v>
      </c>
      <c r="D75" s="4" t="s">
        <v>361</v>
      </c>
      <c r="E75" s="4" t="s">
        <v>362</v>
      </c>
      <c r="F75" s="4" t="s">
        <v>363</v>
      </c>
      <c r="G75" s="4" t="s">
        <v>600</v>
      </c>
      <c r="H75" s="4" t="s">
        <v>601</v>
      </c>
      <c r="I75" s="4" t="s">
        <v>602</v>
      </c>
      <c r="J75" s="4" t="s">
        <v>603</v>
      </c>
      <c r="K75" s="4" t="s">
        <v>604</v>
      </c>
      <c r="L75" s="4" t="s">
        <v>605</v>
      </c>
      <c r="Z75" s="2" t="s">
        <v>606</v>
      </c>
      <c r="AA75" s="2" t="s">
        <v>509</v>
      </c>
      <c r="AB75" s="2" t="s">
        <v>116</v>
      </c>
      <c r="AC75" s="4" t="s">
        <v>117</v>
      </c>
      <c r="AD75" s="4" t="s">
        <v>118</v>
      </c>
      <c r="AE75" s="4" t="s">
        <v>607</v>
      </c>
      <c r="AF75" s="4" t="s">
        <v>525</v>
      </c>
      <c r="AG75" s="4" t="s">
        <v>526</v>
      </c>
      <c r="AH75" s="4" t="s">
        <v>608</v>
      </c>
      <c r="AI75" s="2" t="s">
        <v>122</v>
      </c>
      <c r="AJ75" s="2" t="s">
        <v>609</v>
      </c>
      <c r="AK75" s="4" t="s">
        <v>610</v>
      </c>
      <c r="AL75" s="4" t="s">
        <v>611</v>
      </c>
      <c r="AM75" s="4" t="s">
        <v>612</v>
      </c>
      <c r="AN75" s="4" t="s">
        <v>613</v>
      </c>
      <c r="AO75" s="4" t="s">
        <v>614</v>
      </c>
      <c r="AP75" s="4" t="str">
        <f t="array" ref="AP75">XLOOKUP(TRUE, CHOOSECOLS(A75:V75, 1, 4, 7, 10, 13, 16, 19, 22)&lt;&gt;"", CHOOSECOLS(A75:V75, 1, 4, 7, 10, 13, 16, 19, 22), "", 0, -1)</f>
        <v>Metabolic functions</v>
      </c>
      <c r="AQ75" s="4" t="s">
        <v>317</v>
      </c>
      <c r="AR75" s="2" t="s">
        <v>129</v>
      </c>
      <c r="AS75" s="4" t="s">
        <v>543</v>
      </c>
      <c r="AT75" s="4" t="s">
        <v>615</v>
      </c>
      <c r="BF75" s="4" t="s">
        <v>616</v>
      </c>
      <c r="BI75" s="4" t="s">
        <v>617</v>
      </c>
      <c r="BR75" s="4" t="s">
        <v>136</v>
      </c>
      <c r="BS75" s="4" t="s">
        <v>618</v>
      </c>
      <c r="BT75" s="4">
        <v>4.0</v>
      </c>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row>
    <row r="76">
      <c r="A76" s="4" t="s">
        <v>105</v>
      </c>
      <c r="B76" s="4" t="s">
        <v>105</v>
      </c>
      <c r="C76" s="4" t="s">
        <v>599</v>
      </c>
      <c r="D76" s="4" t="s">
        <v>361</v>
      </c>
      <c r="E76" s="4" t="s">
        <v>362</v>
      </c>
      <c r="F76" s="4" t="s">
        <v>363</v>
      </c>
      <c r="G76" s="4" t="s">
        <v>600</v>
      </c>
      <c r="H76" s="4" t="s">
        <v>601</v>
      </c>
      <c r="I76" s="4" t="s">
        <v>602</v>
      </c>
      <c r="J76" s="4" t="s">
        <v>603</v>
      </c>
      <c r="K76" s="4" t="s">
        <v>604</v>
      </c>
      <c r="L76" s="4" t="s">
        <v>605</v>
      </c>
      <c r="Z76" s="2" t="s">
        <v>619</v>
      </c>
      <c r="AA76" s="2" t="s">
        <v>509</v>
      </c>
      <c r="AB76" s="2" t="s">
        <v>116</v>
      </c>
      <c r="AC76" s="4" t="s">
        <v>117</v>
      </c>
      <c r="AD76" s="4" t="s">
        <v>118</v>
      </c>
      <c r="AE76" s="4" t="s">
        <v>607</v>
      </c>
      <c r="AF76" s="4" t="s">
        <v>525</v>
      </c>
      <c r="AG76" s="4" t="s">
        <v>526</v>
      </c>
      <c r="AH76" s="4" t="s">
        <v>620</v>
      </c>
      <c r="AI76" s="4" t="s">
        <v>357</v>
      </c>
      <c r="AJ76" s="2" t="s">
        <v>621</v>
      </c>
      <c r="AK76" s="4" t="s">
        <v>622</v>
      </c>
      <c r="AL76" s="2"/>
      <c r="AM76" s="4" t="s">
        <v>623</v>
      </c>
      <c r="AN76" s="4" t="s">
        <v>613</v>
      </c>
      <c r="AO76" s="4" t="s">
        <v>624</v>
      </c>
      <c r="AP76" s="4" t="str">
        <f t="array" ref="AP76">XLOOKUP(TRUE, CHOOSECOLS(A76:V76, 1, 4, 7, 10, 13, 16, 19, 22)&lt;&gt;"", CHOOSECOLS(A76:V76, 1, 4, 7, 10, 13, 16, 19, 22), "", 0, -1)</f>
        <v>Metabolic functions</v>
      </c>
      <c r="AQ76" s="4" t="s">
        <v>542</v>
      </c>
      <c r="AR76" s="2" t="s">
        <v>542</v>
      </c>
      <c r="AS76" s="4" t="s">
        <v>543</v>
      </c>
      <c r="AT76" s="4" t="s">
        <v>615</v>
      </c>
      <c r="BF76" s="4" t="s">
        <v>616</v>
      </c>
      <c r="BI76" s="4" t="s">
        <v>617</v>
      </c>
      <c r="BR76" s="4" t="s">
        <v>136</v>
      </c>
      <c r="BS76" s="4" t="s">
        <v>618</v>
      </c>
      <c r="BT76" s="4">
        <v>4.0</v>
      </c>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row>
    <row r="77">
      <c r="A77" s="4" t="s">
        <v>105</v>
      </c>
      <c r="B77" s="4" t="s">
        <v>105</v>
      </c>
      <c r="C77" s="4" t="s">
        <v>599</v>
      </c>
      <c r="D77" s="4" t="s">
        <v>361</v>
      </c>
      <c r="E77" s="4" t="s">
        <v>362</v>
      </c>
      <c r="F77" s="4" t="s">
        <v>363</v>
      </c>
      <c r="G77" s="4" t="s">
        <v>600</v>
      </c>
      <c r="H77" s="4" t="s">
        <v>601</v>
      </c>
      <c r="I77" s="4" t="s">
        <v>602</v>
      </c>
      <c r="J77" s="4" t="s">
        <v>603</v>
      </c>
      <c r="K77" s="4" t="s">
        <v>604</v>
      </c>
      <c r="L77" s="4" t="s">
        <v>605</v>
      </c>
      <c r="Z77" s="2" t="s">
        <v>625</v>
      </c>
      <c r="AA77" s="2" t="s">
        <v>509</v>
      </c>
      <c r="AB77" s="2" t="s">
        <v>116</v>
      </c>
      <c r="AC77" s="4" t="s">
        <v>117</v>
      </c>
      <c r="AD77" s="4" t="s">
        <v>118</v>
      </c>
      <c r="AE77" s="4" t="s">
        <v>607</v>
      </c>
      <c r="AF77" s="4" t="s">
        <v>525</v>
      </c>
      <c r="AG77" s="4" t="s">
        <v>526</v>
      </c>
      <c r="AH77" s="4" t="s">
        <v>626</v>
      </c>
      <c r="AI77" s="4" t="s">
        <v>122</v>
      </c>
      <c r="AJ77" s="2" t="s">
        <v>627</v>
      </c>
      <c r="AK77" s="4" t="s">
        <v>628</v>
      </c>
      <c r="AL77" s="2"/>
      <c r="AM77" s="4" t="s">
        <v>623</v>
      </c>
      <c r="AN77" s="4" t="s">
        <v>613</v>
      </c>
      <c r="AO77" s="4" t="s">
        <v>629</v>
      </c>
      <c r="AP77" s="4" t="str">
        <f t="array" ref="AP77">XLOOKUP(TRUE, CHOOSECOLS(A77:V77, 1, 4, 7, 10, 13, 16, 19, 22)&lt;&gt;"", CHOOSECOLS(A77:V77, 1, 4, 7, 10, 13, 16, 19, 22), "", 0, -1)</f>
        <v>Metabolic functions</v>
      </c>
      <c r="AQ77" s="4" t="s">
        <v>630</v>
      </c>
      <c r="AR77" s="2" t="s">
        <v>330</v>
      </c>
      <c r="AS77" s="4" t="s">
        <v>543</v>
      </c>
      <c r="AT77" s="4" t="s">
        <v>615</v>
      </c>
      <c r="BF77" s="4" t="s">
        <v>616</v>
      </c>
      <c r="BI77" s="4" t="s">
        <v>617</v>
      </c>
      <c r="BR77" s="4" t="s">
        <v>136</v>
      </c>
      <c r="BS77" s="4" t="s">
        <v>618</v>
      </c>
      <c r="BT77" s="4">
        <v>4.0</v>
      </c>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row>
    <row r="78">
      <c r="A78" s="4" t="s">
        <v>105</v>
      </c>
      <c r="B78" s="4" t="s">
        <v>105</v>
      </c>
      <c r="C78" s="4" t="s">
        <v>631</v>
      </c>
      <c r="D78" s="4" t="s">
        <v>632</v>
      </c>
      <c r="E78" s="4" t="s">
        <v>368</v>
      </c>
      <c r="F78" s="4" t="s">
        <v>369</v>
      </c>
      <c r="G78" s="4" t="s">
        <v>633</v>
      </c>
      <c r="J78" s="4" t="s">
        <v>634</v>
      </c>
      <c r="K78" s="4" t="s">
        <v>635</v>
      </c>
      <c r="L78" s="4" t="s">
        <v>636</v>
      </c>
      <c r="Z78" s="2" t="s">
        <v>637</v>
      </c>
      <c r="AA78" s="2" t="s">
        <v>638</v>
      </c>
      <c r="AB78" s="2" t="s">
        <v>116</v>
      </c>
      <c r="AC78" s="4" t="s">
        <v>117</v>
      </c>
      <c r="AD78" s="4" t="s">
        <v>118</v>
      </c>
      <c r="AE78" s="4" t="s">
        <v>243</v>
      </c>
      <c r="AF78" s="4" t="s">
        <v>120</v>
      </c>
      <c r="AG78" s="4" t="s">
        <v>121</v>
      </c>
      <c r="AI78" s="4" t="s">
        <v>122</v>
      </c>
      <c r="AJ78" s="2" t="s">
        <v>621</v>
      </c>
      <c r="AK78" s="4" t="s">
        <v>639</v>
      </c>
      <c r="AL78" s="2"/>
      <c r="AN78" s="4" t="s">
        <v>640</v>
      </c>
      <c r="AO78" s="2" t="s">
        <v>641</v>
      </c>
      <c r="AP78" s="4" t="str">
        <f t="array" ref="AP78">XLOOKUP(TRUE, CHOOSECOLS(A78:V78, 1, 4, 7, 10, 13, 16, 19, 22)&lt;&gt;"", CHOOSECOLS(A78:V78, 1, 4, 7, 10, 13, 16, 19, 22), "", 0, -1)</f>
        <v>Define oxygen pathway</v>
      </c>
      <c r="AQ78" s="2"/>
      <c r="AR78" s="2" t="s">
        <v>129</v>
      </c>
      <c r="AS78" s="4" t="s">
        <v>331</v>
      </c>
      <c r="AT78" s="4" t="s">
        <v>642</v>
      </c>
      <c r="BF78" s="2" t="s">
        <v>643</v>
      </c>
      <c r="BI78" s="4" t="s">
        <v>644</v>
      </c>
      <c r="BR78" s="4" t="s">
        <v>136</v>
      </c>
      <c r="BS78" s="4" t="s">
        <v>645</v>
      </c>
      <c r="BT78" s="4">
        <v>5.0</v>
      </c>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row>
    <row r="79">
      <c r="A79" s="4" t="s">
        <v>105</v>
      </c>
      <c r="B79" s="4" t="s">
        <v>105</v>
      </c>
      <c r="C79" s="4" t="s">
        <v>631</v>
      </c>
      <c r="D79" s="4" t="s">
        <v>632</v>
      </c>
      <c r="E79" s="4" t="s">
        <v>368</v>
      </c>
      <c r="F79" s="4" t="s">
        <v>369</v>
      </c>
      <c r="G79" s="4" t="s">
        <v>633</v>
      </c>
      <c r="J79" s="4" t="s">
        <v>634</v>
      </c>
      <c r="K79" s="4" t="s">
        <v>635</v>
      </c>
      <c r="L79" s="4" t="s">
        <v>636</v>
      </c>
      <c r="Z79" s="2" t="s">
        <v>646</v>
      </c>
      <c r="AA79" s="2" t="s">
        <v>638</v>
      </c>
      <c r="AB79" s="2" t="s">
        <v>116</v>
      </c>
      <c r="AC79" s="4" t="s">
        <v>117</v>
      </c>
      <c r="AD79" s="4" t="s">
        <v>118</v>
      </c>
      <c r="AE79" s="4" t="s">
        <v>243</v>
      </c>
      <c r="AF79" s="4" t="s">
        <v>120</v>
      </c>
      <c r="AG79" s="4" t="s">
        <v>121</v>
      </c>
      <c r="AI79" s="4" t="s">
        <v>122</v>
      </c>
      <c r="AJ79" s="2" t="s">
        <v>621</v>
      </c>
      <c r="AK79" s="4" t="s">
        <v>276</v>
      </c>
      <c r="AL79" s="2"/>
      <c r="AM79" s="4" t="s">
        <v>126</v>
      </c>
      <c r="AN79" s="4" t="s">
        <v>640</v>
      </c>
      <c r="AO79" s="4" t="s">
        <v>647</v>
      </c>
      <c r="AP79" s="4" t="str">
        <f t="array" ref="AP79">XLOOKUP(TRUE, CHOOSECOLS(A79:V79, 1, 4, 7, 10, 13, 16, 19, 22)&lt;&gt;"", CHOOSECOLS(A79:V79, 1, 4, 7, 10, 13, 16, 19, 22), "", 0, -1)</f>
        <v>Define oxygen pathway</v>
      </c>
      <c r="AQ79" s="2"/>
      <c r="AR79" s="2" t="s">
        <v>129</v>
      </c>
      <c r="AS79" s="4" t="s">
        <v>331</v>
      </c>
      <c r="AT79" s="4" t="s">
        <v>642</v>
      </c>
      <c r="BF79" s="2" t="s">
        <v>643</v>
      </c>
      <c r="BI79" s="4" t="s">
        <v>644</v>
      </c>
      <c r="BR79" s="4" t="s">
        <v>136</v>
      </c>
      <c r="BS79" s="4" t="s">
        <v>645</v>
      </c>
      <c r="BT79" s="4">
        <v>5.0</v>
      </c>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row>
    <row r="80">
      <c r="A80" s="4" t="s">
        <v>105</v>
      </c>
      <c r="B80" s="4" t="s">
        <v>105</v>
      </c>
      <c r="C80" s="4" t="s">
        <v>648</v>
      </c>
      <c r="D80" s="4" t="s">
        <v>632</v>
      </c>
      <c r="E80" s="4" t="s">
        <v>368</v>
      </c>
      <c r="F80" s="4" t="s">
        <v>369</v>
      </c>
      <c r="G80" s="4" t="s">
        <v>633</v>
      </c>
      <c r="J80" s="4" t="s">
        <v>649</v>
      </c>
      <c r="Z80" s="2" t="s">
        <v>650</v>
      </c>
      <c r="AA80" s="2" t="s">
        <v>638</v>
      </c>
      <c r="AB80" s="2" t="s">
        <v>116</v>
      </c>
      <c r="AC80" s="4" t="s">
        <v>117</v>
      </c>
      <c r="AD80" s="4" t="s">
        <v>118</v>
      </c>
      <c r="AE80" s="4" t="s">
        <v>243</v>
      </c>
      <c r="AF80" s="4" t="s">
        <v>120</v>
      </c>
      <c r="AG80" s="4" t="s">
        <v>121</v>
      </c>
      <c r="AI80" s="4" t="s">
        <v>357</v>
      </c>
      <c r="AJ80" s="2" t="s">
        <v>651</v>
      </c>
      <c r="AK80" s="4" t="s">
        <v>652</v>
      </c>
      <c r="AL80" s="2"/>
      <c r="AM80" s="4" t="s">
        <v>182</v>
      </c>
      <c r="AN80" s="4" t="s">
        <v>653</v>
      </c>
      <c r="AO80" s="4" t="s">
        <v>654</v>
      </c>
      <c r="AP80" s="4" t="str">
        <f t="array" ref="AP80">XLOOKUP(TRUE, CHOOSECOLS(A80:V80, 1, 4, 7, 10, 13, 16, 19, 22)&lt;&gt;"", CHOOSECOLS(A80:V80, 1, 4, 7, 10, 13, 16, 19, 22), "", 0, -1)</f>
        <v>Four causes of hypoxemia</v>
      </c>
      <c r="AQ80" s="2"/>
      <c r="AR80" s="2" t="s">
        <v>129</v>
      </c>
      <c r="AS80" s="4" t="s">
        <v>543</v>
      </c>
      <c r="AT80" s="4" t="s">
        <v>655</v>
      </c>
      <c r="AW80" s="4" t="s">
        <v>656</v>
      </c>
      <c r="BF80" s="4" t="s">
        <v>657</v>
      </c>
      <c r="BR80" s="4" t="s">
        <v>136</v>
      </c>
      <c r="BS80" s="4" t="s">
        <v>658</v>
      </c>
      <c r="BT80" s="4">
        <v>5.0</v>
      </c>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row>
    <row r="81">
      <c r="A81" s="4" t="s">
        <v>105</v>
      </c>
      <c r="B81" s="4" t="s">
        <v>105</v>
      </c>
      <c r="C81" s="4" t="s">
        <v>648</v>
      </c>
      <c r="D81" s="4" t="s">
        <v>632</v>
      </c>
      <c r="E81" s="4" t="s">
        <v>368</v>
      </c>
      <c r="F81" s="4" t="s">
        <v>369</v>
      </c>
      <c r="G81" s="4" t="s">
        <v>633</v>
      </c>
      <c r="J81" s="4" t="s">
        <v>649</v>
      </c>
      <c r="Z81" s="2" t="s">
        <v>659</v>
      </c>
      <c r="AA81" s="2" t="s">
        <v>638</v>
      </c>
      <c r="AB81" s="2" t="s">
        <v>116</v>
      </c>
      <c r="AC81" s="4" t="s">
        <v>117</v>
      </c>
      <c r="AD81" s="4" t="s">
        <v>118</v>
      </c>
      <c r="AE81" s="4" t="s">
        <v>243</v>
      </c>
      <c r="AF81" s="4" t="s">
        <v>120</v>
      </c>
      <c r="AG81" s="4" t="s">
        <v>121</v>
      </c>
      <c r="AI81" s="4" t="s">
        <v>357</v>
      </c>
      <c r="AJ81" s="2" t="s">
        <v>223</v>
      </c>
      <c r="AK81" s="4" t="s">
        <v>660</v>
      </c>
      <c r="AL81" s="2"/>
      <c r="AM81" s="4" t="s">
        <v>198</v>
      </c>
      <c r="AN81" s="4" t="s">
        <v>653</v>
      </c>
      <c r="AO81" s="4" t="s">
        <v>661</v>
      </c>
      <c r="AP81" s="4" t="str">
        <f t="array" ref="AP81">XLOOKUP(TRUE, CHOOSECOLS(A81:V81, 1, 4, 7, 10, 13, 16, 19, 22)&lt;&gt;"", CHOOSECOLS(A81:V81, 1, 4, 7, 10, 13, 16, 19, 22), "", 0, -1)</f>
        <v>Four causes of hypoxemia</v>
      </c>
      <c r="AQ81" s="2"/>
      <c r="AR81" s="2" t="s">
        <v>129</v>
      </c>
      <c r="AS81" s="4" t="s">
        <v>543</v>
      </c>
      <c r="AT81" s="4" t="s">
        <v>655</v>
      </c>
      <c r="AW81" s="4" t="s">
        <v>656</v>
      </c>
      <c r="BF81" s="4" t="s">
        <v>657</v>
      </c>
      <c r="BR81" s="4" t="s">
        <v>136</v>
      </c>
      <c r="BS81" s="4" t="s">
        <v>658</v>
      </c>
      <c r="BT81" s="4">
        <v>5.0</v>
      </c>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row>
    <row r="82">
      <c r="A82" s="4" t="s">
        <v>105</v>
      </c>
      <c r="B82" s="4" t="s">
        <v>105</v>
      </c>
      <c r="C82" s="4" t="s">
        <v>648</v>
      </c>
      <c r="D82" s="4" t="s">
        <v>632</v>
      </c>
      <c r="E82" s="4" t="s">
        <v>368</v>
      </c>
      <c r="F82" s="4" t="s">
        <v>369</v>
      </c>
      <c r="G82" s="4" t="s">
        <v>633</v>
      </c>
      <c r="J82" s="4" t="s">
        <v>649</v>
      </c>
      <c r="Z82" s="2" t="s">
        <v>662</v>
      </c>
      <c r="AA82" s="2" t="s">
        <v>638</v>
      </c>
      <c r="AB82" s="2" t="s">
        <v>116</v>
      </c>
      <c r="AC82" s="4" t="s">
        <v>117</v>
      </c>
      <c r="AD82" s="4" t="s">
        <v>118</v>
      </c>
      <c r="AE82" s="4" t="s">
        <v>243</v>
      </c>
      <c r="AF82" s="4" t="s">
        <v>120</v>
      </c>
      <c r="AG82" s="4" t="s">
        <v>121</v>
      </c>
      <c r="AI82" s="4" t="s">
        <v>357</v>
      </c>
      <c r="AJ82" s="2" t="s">
        <v>394</v>
      </c>
      <c r="AK82" s="4" t="s">
        <v>663</v>
      </c>
      <c r="AL82" s="2"/>
      <c r="AM82" s="4" t="s">
        <v>126</v>
      </c>
      <c r="AN82" s="4" t="s">
        <v>653</v>
      </c>
      <c r="AO82" s="4" t="s">
        <v>664</v>
      </c>
      <c r="AP82" s="4" t="str">
        <f t="array" ref="AP82">XLOOKUP(TRUE, CHOOSECOLS(A82:V82, 1, 4, 7, 10, 13, 16, 19, 22)&lt;&gt;"", CHOOSECOLS(A82:V82, 1, 4, 7, 10, 13, 16, 19, 22), "", 0, -1)</f>
        <v>Four causes of hypoxemia</v>
      </c>
      <c r="AQ82" s="2"/>
      <c r="AR82" s="2" t="s">
        <v>129</v>
      </c>
      <c r="AS82" s="4" t="s">
        <v>543</v>
      </c>
      <c r="AT82" s="4" t="s">
        <v>655</v>
      </c>
      <c r="AW82" s="4" t="s">
        <v>656</v>
      </c>
      <c r="BF82" s="4" t="s">
        <v>657</v>
      </c>
      <c r="BR82" s="4" t="s">
        <v>136</v>
      </c>
      <c r="BS82" s="4" t="s">
        <v>658</v>
      </c>
      <c r="BT82" s="4">
        <v>5.0</v>
      </c>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row>
    <row r="83">
      <c r="A83" s="4" t="s">
        <v>105</v>
      </c>
      <c r="B83" s="4" t="s">
        <v>105</v>
      </c>
      <c r="C83" s="4" t="s">
        <v>648</v>
      </c>
      <c r="D83" s="4" t="s">
        <v>632</v>
      </c>
      <c r="E83" s="4" t="s">
        <v>368</v>
      </c>
      <c r="F83" s="4" t="s">
        <v>369</v>
      </c>
      <c r="G83" s="4" t="s">
        <v>633</v>
      </c>
      <c r="J83" s="4" t="s">
        <v>649</v>
      </c>
      <c r="Z83" s="2" t="s">
        <v>665</v>
      </c>
      <c r="AA83" s="2" t="s">
        <v>115</v>
      </c>
      <c r="AB83" s="2" t="s">
        <v>116</v>
      </c>
      <c r="AC83" s="4" t="s">
        <v>117</v>
      </c>
      <c r="AD83" s="4" t="s">
        <v>118</v>
      </c>
      <c r="AE83" s="4" t="s">
        <v>243</v>
      </c>
      <c r="AF83" s="4" t="s">
        <v>120</v>
      </c>
      <c r="AG83" s="4" t="s">
        <v>121</v>
      </c>
      <c r="AI83" s="4" t="s">
        <v>357</v>
      </c>
      <c r="AJ83" s="2" t="s">
        <v>666</v>
      </c>
      <c r="AK83" s="4" t="s">
        <v>667</v>
      </c>
      <c r="AL83" s="2"/>
      <c r="AN83" s="4" t="s">
        <v>653</v>
      </c>
      <c r="AO83" s="4" t="s">
        <v>668</v>
      </c>
      <c r="AP83" s="4" t="str">
        <f t="array" ref="AP83">XLOOKUP(TRUE, CHOOSECOLS(A83:V83, 1, 4, 7, 10, 13, 16, 19, 22)&lt;&gt;"", CHOOSECOLS(A83:V83, 1, 4, 7, 10, 13, 16, 19, 22), "", 0, -1)</f>
        <v>Four causes of hypoxemia</v>
      </c>
      <c r="AQ83" s="2"/>
      <c r="AR83" s="2" t="s">
        <v>129</v>
      </c>
      <c r="AS83" s="4" t="s">
        <v>543</v>
      </c>
      <c r="AT83" s="4" t="s">
        <v>655</v>
      </c>
      <c r="AW83" s="4" t="s">
        <v>656</v>
      </c>
      <c r="BF83" s="4" t="s">
        <v>657</v>
      </c>
      <c r="BR83" s="4" t="s">
        <v>136</v>
      </c>
      <c r="BS83" s="4" t="s">
        <v>658</v>
      </c>
      <c r="BT83" s="4">
        <v>5.0</v>
      </c>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row>
    <row r="84">
      <c r="A84" s="4" t="s">
        <v>105</v>
      </c>
      <c r="B84" s="4" t="s">
        <v>105</v>
      </c>
      <c r="C84" s="4" t="s">
        <v>669</v>
      </c>
      <c r="D84" s="4" t="s">
        <v>632</v>
      </c>
      <c r="E84" s="4" t="s">
        <v>368</v>
      </c>
      <c r="F84" s="4" t="s">
        <v>369</v>
      </c>
      <c r="G84" s="4" t="s">
        <v>633</v>
      </c>
      <c r="J84" s="4" t="s">
        <v>670</v>
      </c>
      <c r="Z84" s="2" t="s">
        <v>671</v>
      </c>
      <c r="AA84" s="2" t="s">
        <v>115</v>
      </c>
      <c r="AB84" s="2" t="s">
        <v>116</v>
      </c>
      <c r="AC84" s="4" t="s">
        <v>117</v>
      </c>
      <c r="AD84" s="4" t="s">
        <v>118</v>
      </c>
      <c r="AE84" s="4" t="s">
        <v>243</v>
      </c>
      <c r="AF84" s="4" t="s">
        <v>120</v>
      </c>
      <c r="AG84" s="4" t="s">
        <v>121</v>
      </c>
      <c r="AI84" s="4" t="s">
        <v>122</v>
      </c>
      <c r="AJ84" s="2" t="s">
        <v>672</v>
      </c>
      <c r="AK84" s="4" t="s">
        <v>138</v>
      </c>
      <c r="AL84" s="2"/>
      <c r="AM84" s="4" t="s">
        <v>182</v>
      </c>
      <c r="AN84" s="4" t="s">
        <v>673</v>
      </c>
      <c r="AO84" s="2" t="s">
        <v>674</v>
      </c>
      <c r="AP84" s="4" t="str">
        <f t="array" ref="AP84">XLOOKUP(TRUE, CHOOSECOLS(A84:V84, 1, 4, 7, 10, 13, 16, 19, 22)&lt;&gt;"", CHOOSECOLS(A84:V84, 1, 4, 7, 10, 13, 16, 19, 22), "", 0, -1)</f>
        <v>Hypoventilation</v>
      </c>
      <c r="AQ84" s="2"/>
      <c r="AR84" s="2" t="s">
        <v>129</v>
      </c>
      <c r="AS84" s="4" t="s">
        <v>130</v>
      </c>
      <c r="AT84" s="4" t="s">
        <v>421</v>
      </c>
      <c r="AU84" s="4" t="s">
        <v>422</v>
      </c>
      <c r="AV84" s="4" t="s">
        <v>423</v>
      </c>
      <c r="AW84" s="4" t="s">
        <v>675</v>
      </c>
      <c r="BF84" s="4" t="s">
        <v>676</v>
      </c>
      <c r="BR84" s="4" t="s">
        <v>136</v>
      </c>
      <c r="BS84" s="4" t="s">
        <v>677</v>
      </c>
      <c r="BT84" s="4">
        <v>5.0</v>
      </c>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row>
    <row r="85">
      <c r="A85" s="4" t="s">
        <v>105</v>
      </c>
      <c r="B85" s="4" t="s">
        <v>105</v>
      </c>
      <c r="C85" s="4" t="s">
        <v>669</v>
      </c>
      <c r="D85" s="4" t="s">
        <v>632</v>
      </c>
      <c r="E85" s="4" t="s">
        <v>368</v>
      </c>
      <c r="F85" s="4" t="s">
        <v>369</v>
      </c>
      <c r="G85" s="4" t="s">
        <v>633</v>
      </c>
      <c r="J85" s="4" t="s">
        <v>670</v>
      </c>
      <c r="Z85" s="2" t="s">
        <v>678</v>
      </c>
      <c r="AA85" s="2" t="s">
        <v>115</v>
      </c>
      <c r="AB85" s="2" t="s">
        <v>116</v>
      </c>
      <c r="AC85" s="4" t="s">
        <v>117</v>
      </c>
      <c r="AD85" s="4" t="s">
        <v>118</v>
      </c>
      <c r="AE85" s="4" t="s">
        <v>243</v>
      </c>
      <c r="AF85" s="4" t="s">
        <v>120</v>
      </c>
      <c r="AG85" s="4" t="s">
        <v>121</v>
      </c>
      <c r="AI85" s="4" t="s">
        <v>122</v>
      </c>
      <c r="AJ85" s="2" t="s">
        <v>672</v>
      </c>
      <c r="AK85" s="4" t="s">
        <v>679</v>
      </c>
      <c r="AL85" s="2"/>
      <c r="AM85" s="4" t="s">
        <v>126</v>
      </c>
      <c r="AN85" s="4" t="s">
        <v>673</v>
      </c>
      <c r="AO85" s="4" t="s">
        <v>680</v>
      </c>
      <c r="AP85" s="4" t="str">
        <f t="array" ref="AP85">XLOOKUP(TRUE, CHOOSECOLS(A85:V85, 1, 4, 7, 10, 13, 16, 19, 22)&lt;&gt;"", CHOOSECOLS(A85:V85, 1, 4, 7, 10, 13, 16, 19, 22), "", 0, -1)</f>
        <v>Hypoventilation</v>
      </c>
      <c r="AQ85" s="2"/>
      <c r="AR85" s="2" t="s">
        <v>129</v>
      </c>
      <c r="AS85" s="4" t="s">
        <v>130</v>
      </c>
      <c r="AT85" s="4" t="s">
        <v>421</v>
      </c>
      <c r="AU85" s="4" t="s">
        <v>422</v>
      </c>
      <c r="AV85" s="4" t="s">
        <v>423</v>
      </c>
      <c r="AW85" s="4" t="s">
        <v>675</v>
      </c>
      <c r="BF85" s="4" t="s">
        <v>676</v>
      </c>
      <c r="BR85" s="4" t="s">
        <v>136</v>
      </c>
      <c r="BS85" s="4" t="s">
        <v>677</v>
      </c>
      <c r="BT85" s="4">
        <v>5.0</v>
      </c>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row>
    <row r="86">
      <c r="A86" s="4" t="s">
        <v>105</v>
      </c>
      <c r="B86" s="4" t="s">
        <v>105</v>
      </c>
      <c r="C86" s="4" t="s">
        <v>669</v>
      </c>
      <c r="D86" s="4" t="s">
        <v>632</v>
      </c>
      <c r="E86" s="4" t="s">
        <v>368</v>
      </c>
      <c r="F86" s="4" t="s">
        <v>369</v>
      </c>
      <c r="G86" s="4" t="s">
        <v>633</v>
      </c>
      <c r="J86" s="4" t="s">
        <v>670</v>
      </c>
      <c r="Z86" s="2" t="s">
        <v>681</v>
      </c>
      <c r="AA86" s="2" t="s">
        <v>115</v>
      </c>
      <c r="AB86" s="2" t="s">
        <v>116</v>
      </c>
      <c r="AC86" s="4" t="s">
        <v>117</v>
      </c>
      <c r="AD86" s="4" t="s">
        <v>118</v>
      </c>
      <c r="AE86" s="4" t="s">
        <v>243</v>
      </c>
      <c r="AF86" s="4" t="s">
        <v>120</v>
      </c>
      <c r="AG86" s="4" t="s">
        <v>121</v>
      </c>
      <c r="AI86" s="4" t="s">
        <v>357</v>
      </c>
      <c r="AJ86" s="2" t="s">
        <v>682</v>
      </c>
      <c r="AK86" s="4" t="s">
        <v>683</v>
      </c>
      <c r="AL86" s="2"/>
      <c r="AM86" s="4" t="s">
        <v>266</v>
      </c>
      <c r="AN86" s="4" t="s">
        <v>673</v>
      </c>
      <c r="AO86" s="4" t="s">
        <v>684</v>
      </c>
      <c r="AP86" s="4" t="str">
        <f t="array" ref="AP86">XLOOKUP(TRUE, CHOOSECOLS(A86:V86, 1, 4, 7, 10, 13, 16, 19, 22)&lt;&gt;"", CHOOSECOLS(A86:V86, 1, 4, 7, 10, 13, 16, 19, 22), "", 0, -1)</f>
        <v>Hypoventilation</v>
      </c>
      <c r="AQ86" s="2"/>
      <c r="AR86" s="2" t="s">
        <v>129</v>
      </c>
      <c r="AS86" s="4" t="s">
        <v>130</v>
      </c>
      <c r="AT86" s="4" t="s">
        <v>421</v>
      </c>
      <c r="AU86" s="4" t="s">
        <v>422</v>
      </c>
      <c r="AV86" s="4" t="s">
        <v>423</v>
      </c>
      <c r="AW86" s="4" t="s">
        <v>675</v>
      </c>
      <c r="BF86" s="4" t="s">
        <v>676</v>
      </c>
      <c r="BR86" s="4" t="s">
        <v>136</v>
      </c>
      <c r="BS86" s="4" t="s">
        <v>677</v>
      </c>
      <c r="BT86" s="4">
        <v>5.0</v>
      </c>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row>
    <row r="87">
      <c r="A87" s="4" t="s">
        <v>105</v>
      </c>
      <c r="B87" s="4" t="s">
        <v>105</v>
      </c>
      <c r="C87" s="4" t="s">
        <v>685</v>
      </c>
      <c r="D87" s="4" t="s">
        <v>632</v>
      </c>
      <c r="E87" s="4" t="s">
        <v>368</v>
      </c>
      <c r="F87" s="4" t="s">
        <v>369</v>
      </c>
      <c r="G87" s="4" t="s">
        <v>633</v>
      </c>
      <c r="J87" s="4" t="s">
        <v>686</v>
      </c>
      <c r="K87" s="4" t="s">
        <v>192</v>
      </c>
      <c r="L87" s="4" t="s">
        <v>193</v>
      </c>
      <c r="Z87" s="2" t="s">
        <v>687</v>
      </c>
      <c r="AA87" s="2" t="s">
        <v>115</v>
      </c>
      <c r="AB87" s="2" t="s">
        <v>116</v>
      </c>
      <c r="AC87" s="4" t="s">
        <v>117</v>
      </c>
      <c r="AD87" s="4" t="s">
        <v>118</v>
      </c>
      <c r="AE87" s="4" t="s">
        <v>243</v>
      </c>
      <c r="AF87" s="4" t="s">
        <v>120</v>
      </c>
      <c r="AG87" s="4" t="s">
        <v>121</v>
      </c>
      <c r="AI87" s="4" t="s">
        <v>122</v>
      </c>
      <c r="AJ87" s="2" t="s">
        <v>244</v>
      </c>
      <c r="AK87" s="4" t="s">
        <v>688</v>
      </c>
      <c r="AL87" s="2"/>
      <c r="AN87" s="4" t="s">
        <v>689</v>
      </c>
      <c r="AO87" s="4" t="s">
        <v>690</v>
      </c>
      <c r="AP87" s="4" t="str">
        <f t="array" ref="AP87">XLOOKUP(TRUE, CHOOSECOLS(A87:V87, 1, 4, 7, 10, 13, 16, 19, 22)&lt;&gt;"", CHOOSECOLS(A87:V87, 1, 4, 7, 10, 13, 16, 19, 22), "", 0, -1)</f>
        <v>Diffusion limitation</v>
      </c>
      <c r="AQ87" s="2"/>
      <c r="AR87" s="2" t="s">
        <v>129</v>
      </c>
      <c r="AS87" s="4" t="s">
        <v>227</v>
      </c>
      <c r="AT87" s="4" t="s">
        <v>292</v>
      </c>
      <c r="AW87" s="4" t="s">
        <v>691</v>
      </c>
      <c r="BF87" s="4" t="s">
        <v>692</v>
      </c>
      <c r="BI87" s="4" t="s">
        <v>693</v>
      </c>
      <c r="BR87" s="4" t="s">
        <v>136</v>
      </c>
      <c r="BS87" s="4" t="s">
        <v>694</v>
      </c>
      <c r="BT87" s="4">
        <v>5.0</v>
      </c>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row>
    <row r="88">
      <c r="A88" s="4" t="s">
        <v>105</v>
      </c>
      <c r="B88" s="4" t="s">
        <v>105</v>
      </c>
      <c r="C88" s="4" t="s">
        <v>685</v>
      </c>
      <c r="D88" s="4" t="s">
        <v>632</v>
      </c>
      <c r="E88" s="4" t="s">
        <v>368</v>
      </c>
      <c r="F88" s="4" t="s">
        <v>369</v>
      </c>
      <c r="G88" s="4" t="s">
        <v>633</v>
      </c>
      <c r="J88" s="4" t="s">
        <v>686</v>
      </c>
      <c r="K88" s="4" t="s">
        <v>192</v>
      </c>
      <c r="L88" s="4" t="s">
        <v>193</v>
      </c>
      <c r="Z88" s="2" t="s">
        <v>695</v>
      </c>
      <c r="AA88" s="2" t="s">
        <v>115</v>
      </c>
      <c r="AB88" s="2" t="s">
        <v>116</v>
      </c>
      <c r="AC88" s="4" t="s">
        <v>117</v>
      </c>
      <c r="AD88" s="4" t="s">
        <v>118</v>
      </c>
      <c r="AE88" s="4" t="s">
        <v>243</v>
      </c>
      <c r="AF88" s="4" t="s">
        <v>120</v>
      </c>
      <c r="AG88" s="4" t="s">
        <v>121</v>
      </c>
      <c r="AI88" s="4" t="s">
        <v>357</v>
      </c>
      <c r="AJ88" s="2" t="s">
        <v>244</v>
      </c>
      <c r="AK88" s="4" t="s">
        <v>688</v>
      </c>
      <c r="AL88" s="2"/>
      <c r="AM88" s="4" t="s">
        <v>696</v>
      </c>
      <c r="AN88" s="4" t="s">
        <v>689</v>
      </c>
      <c r="AO88" s="4" t="s">
        <v>697</v>
      </c>
      <c r="AP88" s="4" t="str">
        <f t="array" ref="AP88">XLOOKUP(TRUE, CHOOSECOLS(A88:V88, 1, 4, 7, 10, 13, 16, 19, 22)&lt;&gt;"", CHOOSECOLS(A88:V88, 1, 4, 7, 10, 13, 16, 19, 22), "", 0, -1)</f>
        <v>Diffusion limitation</v>
      </c>
      <c r="AQ88" s="2"/>
      <c r="AR88" s="2" t="s">
        <v>129</v>
      </c>
      <c r="AS88" s="4" t="s">
        <v>227</v>
      </c>
      <c r="AT88" s="4" t="s">
        <v>292</v>
      </c>
      <c r="AW88" s="4" t="s">
        <v>691</v>
      </c>
      <c r="BF88" s="4" t="s">
        <v>692</v>
      </c>
      <c r="BI88" s="4" t="s">
        <v>693</v>
      </c>
      <c r="BR88" s="4" t="s">
        <v>136</v>
      </c>
      <c r="BS88" s="4" t="s">
        <v>694</v>
      </c>
      <c r="BT88" s="4">
        <v>5.0</v>
      </c>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row>
    <row r="89">
      <c r="A89" s="4" t="s">
        <v>105</v>
      </c>
      <c r="B89" s="4" t="s">
        <v>105</v>
      </c>
      <c r="C89" s="4" t="s">
        <v>685</v>
      </c>
      <c r="D89" s="4" t="s">
        <v>632</v>
      </c>
      <c r="E89" s="4" t="s">
        <v>368</v>
      </c>
      <c r="F89" s="4" t="s">
        <v>369</v>
      </c>
      <c r="G89" s="4" t="s">
        <v>633</v>
      </c>
      <c r="J89" s="4" t="s">
        <v>686</v>
      </c>
      <c r="K89" s="4" t="s">
        <v>192</v>
      </c>
      <c r="L89" s="4" t="s">
        <v>193</v>
      </c>
      <c r="Z89" s="2" t="s">
        <v>698</v>
      </c>
      <c r="AA89" s="2" t="s">
        <v>261</v>
      </c>
      <c r="AB89" s="2" t="s">
        <v>116</v>
      </c>
      <c r="AC89" s="4" t="s">
        <v>117</v>
      </c>
      <c r="AD89" s="4" t="s">
        <v>118</v>
      </c>
      <c r="AE89" s="2" t="s">
        <v>262</v>
      </c>
      <c r="AF89" s="4" t="s">
        <v>415</v>
      </c>
      <c r="AG89" s="4" t="s">
        <v>416</v>
      </c>
      <c r="AI89" s="4" t="s">
        <v>122</v>
      </c>
      <c r="AJ89" s="2" t="s">
        <v>627</v>
      </c>
      <c r="AK89" s="4" t="s">
        <v>699</v>
      </c>
      <c r="AL89" s="2"/>
      <c r="AM89" s="4" t="s">
        <v>126</v>
      </c>
      <c r="AN89" s="4" t="s">
        <v>689</v>
      </c>
      <c r="AO89" s="4" t="s">
        <v>700</v>
      </c>
      <c r="AP89" s="4" t="str">
        <f t="array" ref="AP89">XLOOKUP(TRUE, CHOOSECOLS(A89:V89, 1, 4, 7, 10, 13, 16, 19, 22)&lt;&gt;"", CHOOSECOLS(A89:V89, 1, 4, 7, 10, 13, 16, 19, 22), "", 0, -1)</f>
        <v>Diffusion limitation</v>
      </c>
      <c r="AQ89" s="2"/>
      <c r="AR89" s="2" t="s">
        <v>270</v>
      </c>
      <c r="AS89" s="4" t="s">
        <v>227</v>
      </c>
      <c r="AT89" s="4" t="s">
        <v>292</v>
      </c>
      <c r="AW89" s="4" t="s">
        <v>691</v>
      </c>
      <c r="BF89" s="4" t="s">
        <v>692</v>
      </c>
      <c r="BI89" s="4" t="s">
        <v>693</v>
      </c>
      <c r="BR89" s="4" t="s">
        <v>136</v>
      </c>
      <c r="BS89" s="4" t="s">
        <v>694</v>
      </c>
      <c r="BT89" s="4">
        <v>5.0</v>
      </c>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row>
    <row r="90">
      <c r="A90" s="4" t="s">
        <v>105</v>
      </c>
      <c r="B90" s="4" t="s">
        <v>105</v>
      </c>
      <c r="C90" s="4" t="s">
        <v>701</v>
      </c>
      <c r="D90" s="4" t="s">
        <v>632</v>
      </c>
      <c r="E90" s="4" t="s">
        <v>368</v>
      </c>
      <c r="F90" s="4" t="s">
        <v>369</v>
      </c>
      <c r="G90" s="4" t="s">
        <v>633</v>
      </c>
      <c r="J90" s="4" t="s">
        <v>702</v>
      </c>
      <c r="Z90" s="2" t="s">
        <v>703</v>
      </c>
      <c r="AA90" s="2" t="s">
        <v>115</v>
      </c>
      <c r="AB90" s="2" t="s">
        <v>116</v>
      </c>
      <c r="AC90" s="4" t="s">
        <v>117</v>
      </c>
      <c r="AD90" s="4" t="s">
        <v>118</v>
      </c>
      <c r="AE90" s="4" t="s">
        <v>243</v>
      </c>
      <c r="AF90" s="4" t="s">
        <v>120</v>
      </c>
      <c r="AG90" s="4" t="s">
        <v>121</v>
      </c>
      <c r="AI90" s="4" t="s">
        <v>122</v>
      </c>
      <c r="AJ90" s="2" t="s">
        <v>704</v>
      </c>
      <c r="AK90" s="4" t="s">
        <v>705</v>
      </c>
      <c r="AL90" s="2"/>
      <c r="AM90" s="4" t="s">
        <v>256</v>
      </c>
      <c r="AN90" s="4" t="s">
        <v>706</v>
      </c>
      <c r="AO90" s="4" t="s">
        <v>707</v>
      </c>
      <c r="AP90" s="4" t="str">
        <f t="array" ref="AP90">XLOOKUP(TRUE, CHOOSECOLS(A90:V90, 1, 4, 7, 10, 13, 16, 19, 22)&lt;&gt;"", CHOOSECOLS(A90:V90, 1, 4, 7, 10, 13, 16, 19, 22), "", 0, -1)</f>
        <v>Shunt physiology</v>
      </c>
      <c r="AQ90" s="2"/>
      <c r="AR90" s="2" t="s">
        <v>129</v>
      </c>
      <c r="AS90" s="4" t="s">
        <v>331</v>
      </c>
      <c r="AT90" s="4" t="s">
        <v>271</v>
      </c>
      <c r="BF90" s="4" t="s">
        <v>708</v>
      </c>
      <c r="BR90" s="4" t="s">
        <v>136</v>
      </c>
      <c r="BS90" s="4" t="s">
        <v>709</v>
      </c>
      <c r="BT90" s="4">
        <v>5.0</v>
      </c>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row>
    <row r="91">
      <c r="A91" s="4" t="s">
        <v>105</v>
      </c>
      <c r="B91" s="4" t="s">
        <v>105</v>
      </c>
      <c r="C91" s="4" t="s">
        <v>701</v>
      </c>
      <c r="D91" s="4" t="s">
        <v>632</v>
      </c>
      <c r="E91" s="4" t="s">
        <v>368</v>
      </c>
      <c r="F91" s="4" t="s">
        <v>369</v>
      </c>
      <c r="G91" s="4" t="s">
        <v>633</v>
      </c>
      <c r="J91" s="4" t="s">
        <v>702</v>
      </c>
      <c r="Z91" s="2" t="s">
        <v>710</v>
      </c>
      <c r="AA91" s="2" t="s">
        <v>115</v>
      </c>
      <c r="AB91" s="2" t="s">
        <v>116</v>
      </c>
      <c r="AC91" s="4" t="s">
        <v>117</v>
      </c>
      <c r="AD91" s="4" t="s">
        <v>118</v>
      </c>
      <c r="AE91" s="4" t="s">
        <v>243</v>
      </c>
      <c r="AF91" s="4" t="s">
        <v>120</v>
      </c>
      <c r="AG91" s="4" t="s">
        <v>121</v>
      </c>
      <c r="AI91" s="4" t="s">
        <v>312</v>
      </c>
      <c r="AJ91" s="2" t="s">
        <v>704</v>
      </c>
      <c r="AK91" s="4" t="s">
        <v>711</v>
      </c>
      <c r="AL91" s="2"/>
      <c r="AM91" s="4" t="s">
        <v>256</v>
      </c>
      <c r="AN91" s="4" t="s">
        <v>706</v>
      </c>
      <c r="AO91" s="4" t="s">
        <v>712</v>
      </c>
      <c r="AP91" s="4" t="str">
        <f t="array" ref="AP91">XLOOKUP(TRUE, CHOOSECOLS(A91:V91, 1, 4, 7, 10, 13, 16, 19, 22)&lt;&gt;"", CHOOSECOLS(A91:V91, 1, 4, 7, 10, 13, 16, 19, 22), "", 0, -1)</f>
        <v>Shunt physiology</v>
      </c>
      <c r="AQ91" s="2"/>
      <c r="AR91" s="2" t="s">
        <v>129</v>
      </c>
      <c r="AS91" s="4" t="s">
        <v>331</v>
      </c>
      <c r="AT91" s="4" t="s">
        <v>271</v>
      </c>
      <c r="BF91" s="4" t="s">
        <v>708</v>
      </c>
      <c r="BR91" s="4" t="s">
        <v>136</v>
      </c>
      <c r="BS91" s="4" t="s">
        <v>709</v>
      </c>
      <c r="BT91" s="4">
        <v>5.0</v>
      </c>
      <c r="BU91" s="2"/>
      <c r="BV91" s="2"/>
      <c r="BW91" s="2"/>
      <c r="BX91" s="2"/>
      <c r="BY91" s="2"/>
      <c r="BZ91" s="2"/>
      <c r="CA91" s="2"/>
      <c r="CB91" s="2"/>
      <c r="CC91" s="2"/>
    </row>
    <row r="92">
      <c r="A92" s="4" t="s">
        <v>105</v>
      </c>
      <c r="B92" s="4" t="s">
        <v>105</v>
      </c>
      <c r="C92" s="4" t="s">
        <v>701</v>
      </c>
      <c r="D92" s="4" t="s">
        <v>632</v>
      </c>
      <c r="E92" s="4" t="s">
        <v>368</v>
      </c>
      <c r="F92" s="4" t="s">
        <v>369</v>
      </c>
      <c r="G92" s="4" t="s">
        <v>633</v>
      </c>
      <c r="J92" s="4" t="s">
        <v>702</v>
      </c>
      <c r="Z92" s="2" t="s">
        <v>713</v>
      </c>
      <c r="AA92" s="2" t="s">
        <v>115</v>
      </c>
      <c r="AB92" s="2" t="s">
        <v>116</v>
      </c>
      <c r="AC92" s="4" t="s">
        <v>117</v>
      </c>
      <c r="AD92" s="4" t="s">
        <v>118</v>
      </c>
      <c r="AE92" s="4" t="s">
        <v>243</v>
      </c>
      <c r="AF92" s="4" t="s">
        <v>120</v>
      </c>
      <c r="AG92" s="4" t="s">
        <v>121</v>
      </c>
      <c r="AI92" s="4" t="s">
        <v>122</v>
      </c>
      <c r="AJ92" s="2" t="s">
        <v>559</v>
      </c>
      <c r="AK92" s="4" t="s">
        <v>714</v>
      </c>
      <c r="AL92" s="2"/>
      <c r="AN92" s="4" t="s">
        <v>706</v>
      </c>
      <c r="AO92" s="4" t="s">
        <v>715</v>
      </c>
      <c r="AP92" s="4" t="str">
        <f t="array" ref="AP92">XLOOKUP(TRUE, CHOOSECOLS(A92:V92, 1, 4, 7, 10, 13, 16, 19, 22)&lt;&gt;"", CHOOSECOLS(A92:V92, 1, 4, 7, 10, 13, 16, 19, 22), "", 0, -1)</f>
        <v>Shunt physiology</v>
      </c>
      <c r="AQ92" s="2"/>
      <c r="AR92" s="2" t="s">
        <v>129</v>
      </c>
      <c r="AS92" s="4" t="s">
        <v>331</v>
      </c>
      <c r="AT92" s="4" t="s">
        <v>271</v>
      </c>
      <c r="BF92" s="4" t="s">
        <v>708</v>
      </c>
      <c r="BR92" s="4" t="s">
        <v>136</v>
      </c>
      <c r="BS92" s="4" t="s">
        <v>709</v>
      </c>
      <c r="BT92" s="4">
        <v>5.0</v>
      </c>
      <c r="BU92" s="2"/>
      <c r="BV92" s="2"/>
      <c r="BW92" s="2"/>
      <c r="BX92" s="2"/>
      <c r="BY92" s="2"/>
      <c r="BZ92" s="2"/>
      <c r="CA92" s="2"/>
      <c r="CB92" s="2"/>
      <c r="CC92" s="2"/>
    </row>
    <row r="93">
      <c r="A93" s="4" t="s">
        <v>105</v>
      </c>
      <c r="B93" s="4" t="s">
        <v>105</v>
      </c>
      <c r="C93" s="4" t="s">
        <v>716</v>
      </c>
      <c r="D93" s="4" t="s">
        <v>632</v>
      </c>
      <c r="E93" s="4" t="s">
        <v>368</v>
      </c>
      <c r="F93" s="4" t="s">
        <v>369</v>
      </c>
      <c r="G93" s="4" t="s">
        <v>633</v>
      </c>
      <c r="J93" s="4" t="s">
        <v>717</v>
      </c>
      <c r="Z93" s="2" t="s">
        <v>718</v>
      </c>
      <c r="AA93" s="2" t="s">
        <v>115</v>
      </c>
      <c r="AB93" s="2" t="s">
        <v>116</v>
      </c>
      <c r="AC93" s="4" t="s">
        <v>117</v>
      </c>
      <c r="AD93" s="4" t="s">
        <v>118</v>
      </c>
      <c r="AE93" s="4" t="s">
        <v>243</v>
      </c>
      <c r="AF93" s="4" t="s">
        <v>120</v>
      </c>
      <c r="AG93" s="4" t="s">
        <v>121</v>
      </c>
      <c r="AI93" s="4" t="s">
        <v>122</v>
      </c>
      <c r="AJ93" s="2" t="s">
        <v>719</v>
      </c>
      <c r="AK93" s="4" t="s">
        <v>679</v>
      </c>
      <c r="AL93" s="2"/>
      <c r="AM93" s="4" t="s">
        <v>720</v>
      </c>
      <c r="AN93" s="4" t="s">
        <v>721</v>
      </c>
      <c r="AO93" s="4" t="s">
        <v>722</v>
      </c>
      <c r="AP93" s="4" t="str">
        <f t="array" ref="AP93">XLOOKUP(TRUE, CHOOSECOLS(A93:V93, 1, 4, 7, 10, 13, 16, 19, 22)&lt;&gt;"", CHOOSECOLS(A93:V93, 1, 4, 7, 10, 13, 16, 19, 22), "", 0, -1)</f>
        <v>V̇/Q̇ ratio — core concept</v>
      </c>
      <c r="AQ93" s="2"/>
      <c r="AR93" s="2" t="s">
        <v>129</v>
      </c>
      <c r="AS93" s="4" t="s">
        <v>227</v>
      </c>
      <c r="AT93" s="4" t="s">
        <v>723</v>
      </c>
      <c r="BF93" s="2" t="s">
        <v>724</v>
      </c>
      <c r="BR93" s="4" t="s">
        <v>136</v>
      </c>
      <c r="BS93" s="4" t="s">
        <v>725</v>
      </c>
      <c r="BT93" s="4">
        <v>5.0</v>
      </c>
      <c r="BU93" s="2"/>
      <c r="BV93" s="2"/>
      <c r="BW93" s="2"/>
      <c r="BX93" s="2"/>
      <c r="BY93" s="2"/>
      <c r="BZ93" s="2"/>
      <c r="CA93" s="2"/>
      <c r="CB93" s="2"/>
      <c r="CC93" s="2"/>
    </row>
    <row r="94">
      <c r="A94" s="4" t="s">
        <v>105</v>
      </c>
      <c r="B94" s="4" t="s">
        <v>105</v>
      </c>
      <c r="C94" s="4" t="s">
        <v>726</v>
      </c>
      <c r="D94" s="4" t="s">
        <v>632</v>
      </c>
      <c r="E94" s="4" t="s">
        <v>368</v>
      </c>
      <c r="F94" s="4" t="s">
        <v>369</v>
      </c>
      <c r="G94" s="4" t="s">
        <v>633</v>
      </c>
      <c r="J94" s="4" t="s">
        <v>727</v>
      </c>
      <c r="K94" s="4" t="s">
        <v>728</v>
      </c>
      <c r="L94" s="4" t="s">
        <v>729</v>
      </c>
      <c r="Z94" s="2" t="s">
        <v>730</v>
      </c>
      <c r="AA94" s="2" t="s">
        <v>115</v>
      </c>
      <c r="AB94" s="2" t="s">
        <v>116</v>
      </c>
      <c r="AC94" s="4" t="s">
        <v>117</v>
      </c>
      <c r="AD94" s="4" t="s">
        <v>118</v>
      </c>
      <c r="AE94" s="4" t="s">
        <v>243</v>
      </c>
      <c r="AF94" s="4" t="s">
        <v>120</v>
      </c>
      <c r="AG94" s="4" t="s">
        <v>121</v>
      </c>
      <c r="AI94" s="4" t="s">
        <v>312</v>
      </c>
      <c r="AJ94" s="2" t="s">
        <v>500</v>
      </c>
      <c r="AK94" s="4" t="s">
        <v>731</v>
      </c>
      <c r="AL94" s="2"/>
      <c r="AM94" s="4" t="s">
        <v>502</v>
      </c>
      <c r="AN94" s="4" t="s">
        <v>732</v>
      </c>
      <c r="AO94" s="4" t="s">
        <v>733</v>
      </c>
      <c r="AP94" s="4" t="str">
        <f t="array" ref="AP94">XLOOKUP(TRUE, CHOOSECOLS(A94:V94, 1, 4, 7, 10, 13, 16, 19, 22)&lt;&gt;"", CHOOSECOLS(A94:V94, 1, 4, 7, 10, 13, 16, 19, 22), "", 0, -1)</f>
        <v>Regional V̇/Q̇ in upright lung</v>
      </c>
      <c r="AQ94" s="2"/>
      <c r="AR94" s="2" t="s">
        <v>129</v>
      </c>
      <c r="AS94" s="4" t="s">
        <v>227</v>
      </c>
      <c r="AT94" s="4" t="s">
        <v>734</v>
      </c>
      <c r="AU94" s="4" t="s">
        <v>735</v>
      </c>
      <c r="AV94" s="4" t="s">
        <v>736</v>
      </c>
      <c r="BF94" s="4" t="s">
        <v>737</v>
      </c>
      <c r="BR94" s="4" t="s">
        <v>136</v>
      </c>
      <c r="BS94" s="4" t="s">
        <v>738</v>
      </c>
      <c r="BT94" s="4">
        <v>5.0</v>
      </c>
      <c r="BU94" s="2"/>
      <c r="BV94" s="2"/>
      <c r="BW94" s="2"/>
      <c r="BX94" s="2"/>
      <c r="BY94" s="2"/>
      <c r="BZ94" s="2"/>
      <c r="CA94" s="2"/>
      <c r="CB94" s="2"/>
      <c r="CC94" s="2"/>
    </row>
    <row r="95">
      <c r="A95" s="4" t="s">
        <v>105</v>
      </c>
      <c r="B95" s="4" t="s">
        <v>105</v>
      </c>
      <c r="C95" s="4" t="s">
        <v>726</v>
      </c>
      <c r="D95" s="4" t="s">
        <v>632</v>
      </c>
      <c r="E95" s="4" t="s">
        <v>368</v>
      </c>
      <c r="F95" s="4" t="s">
        <v>369</v>
      </c>
      <c r="G95" s="4" t="s">
        <v>633</v>
      </c>
      <c r="J95" s="4" t="s">
        <v>727</v>
      </c>
      <c r="K95" s="4" t="s">
        <v>728</v>
      </c>
      <c r="L95" s="4" t="s">
        <v>729</v>
      </c>
      <c r="Z95" s="2" t="s">
        <v>739</v>
      </c>
      <c r="AA95" s="2" t="s">
        <v>115</v>
      </c>
      <c r="AB95" s="2" t="s">
        <v>116</v>
      </c>
      <c r="AC95" s="4" t="s">
        <v>117</v>
      </c>
      <c r="AD95" s="4" t="s">
        <v>118</v>
      </c>
      <c r="AE95" s="4" t="s">
        <v>243</v>
      </c>
      <c r="AF95" s="4" t="s">
        <v>120</v>
      </c>
      <c r="AG95" s="4" t="s">
        <v>121</v>
      </c>
      <c r="AI95" s="4" t="s">
        <v>312</v>
      </c>
      <c r="AJ95" s="2" t="s">
        <v>500</v>
      </c>
      <c r="AK95" s="4" t="s">
        <v>501</v>
      </c>
      <c r="AL95" s="2"/>
      <c r="AM95" s="4" t="s">
        <v>502</v>
      </c>
      <c r="AN95" s="4" t="s">
        <v>732</v>
      </c>
      <c r="AO95" s="4" t="s">
        <v>740</v>
      </c>
      <c r="AP95" s="4" t="str">
        <f t="array" ref="AP95">XLOOKUP(TRUE, CHOOSECOLS(A95:V95, 1, 4, 7, 10, 13, 16, 19, 22)&lt;&gt;"", CHOOSECOLS(A95:V95, 1, 4, 7, 10, 13, 16, 19, 22), "", 0, -1)</f>
        <v>Regional V̇/Q̇ in upright lung</v>
      </c>
      <c r="AQ95" s="2"/>
      <c r="AR95" s="2" t="s">
        <v>129</v>
      </c>
      <c r="AS95" s="4" t="s">
        <v>227</v>
      </c>
      <c r="AT95" s="4" t="s">
        <v>734</v>
      </c>
      <c r="AU95" s="4" t="s">
        <v>735</v>
      </c>
      <c r="AV95" s="4" t="s">
        <v>736</v>
      </c>
      <c r="BF95" s="4" t="s">
        <v>737</v>
      </c>
      <c r="BR95" s="4" t="s">
        <v>136</v>
      </c>
      <c r="BS95" s="4" t="s">
        <v>738</v>
      </c>
      <c r="BT95" s="4">
        <v>5.0</v>
      </c>
      <c r="BU95" s="2"/>
      <c r="BV95" s="2"/>
      <c r="BW95" s="2"/>
      <c r="BX95" s="2"/>
      <c r="BY95" s="2"/>
      <c r="BZ95" s="2"/>
      <c r="CA95" s="2"/>
      <c r="CB95" s="2"/>
      <c r="CC95" s="2"/>
    </row>
    <row r="96">
      <c r="A96" s="4" t="s">
        <v>105</v>
      </c>
      <c r="B96" s="4" t="s">
        <v>105</v>
      </c>
      <c r="C96" s="4" t="s">
        <v>741</v>
      </c>
      <c r="D96" s="4" t="s">
        <v>632</v>
      </c>
      <c r="E96" s="4" t="s">
        <v>368</v>
      </c>
      <c r="F96" s="4" t="s">
        <v>369</v>
      </c>
      <c r="G96" s="4" t="s">
        <v>633</v>
      </c>
      <c r="J96" s="4" t="s">
        <v>742</v>
      </c>
      <c r="Z96" s="2" t="s">
        <v>743</v>
      </c>
      <c r="AA96" s="2" t="s">
        <v>115</v>
      </c>
      <c r="AB96" s="2" t="s">
        <v>116</v>
      </c>
      <c r="AC96" s="4" t="s">
        <v>117</v>
      </c>
      <c r="AD96" s="4" t="s">
        <v>118</v>
      </c>
      <c r="AE96" s="4" t="s">
        <v>243</v>
      </c>
      <c r="AF96" s="4" t="s">
        <v>120</v>
      </c>
      <c r="AG96" s="4" t="s">
        <v>121</v>
      </c>
      <c r="AI96" s="4" t="s">
        <v>357</v>
      </c>
      <c r="AJ96" s="2" t="s">
        <v>394</v>
      </c>
      <c r="AK96" s="4" t="s">
        <v>663</v>
      </c>
      <c r="AL96" s="2"/>
      <c r="AM96" s="4" t="s">
        <v>126</v>
      </c>
      <c r="AN96" s="4" t="s">
        <v>744</v>
      </c>
      <c r="AO96" s="4" t="s">
        <v>745</v>
      </c>
      <c r="AP96" s="4" t="str">
        <f t="array" ref="AP96">XLOOKUP(TRUE, CHOOSECOLS(A96:V96, 1, 4, 7, 10, 13, 16, 19, 22)&lt;&gt;"", CHOOSECOLS(A96:V96, 1, 4, 7, 10, 13, 16, 19, 22), "", 0, -1)</f>
        <v>Impact of V̇/Q̇ inequality</v>
      </c>
      <c r="AQ96" s="2"/>
      <c r="AR96" s="2" t="s">
        <v>129</v>
      </c>
      <c r="AS96" s="4" t="s">
        <v>543</v>
      </c>
      <c r="AT96" s="4" t="s">
        <v>655</v>
      </c>
      <c r="BF96" s="4" t="s">
        <v>746</v>
      </c>
      <c r="BR96" s="4" t="s">
        <v>136</v>
      </c>
      <c r="BS96" s="4" t="s">
        <v>747</v>
      </c>
      <c r="BT96" s="4">
        <v>5.0</v>
      </c>
      <c r="BU96" s="2"/>
      <c r="BV96" s="2"/>
      <c r="BW96" s="2"/>
      <c r="BX96" s="2"/>
      <c r="BY96" s="2"/>
      <c r="BZ96" s="2"/>
      <c r="CA96" s="2"/>
      <c r="CB96" s="2"/>
      <c r="CC96" s="2"/>
    </row>
    <row r="97">
      <c r="A97" s="4" t="s">
        <v>105</v>
      </c>
      <c r="B97" s="4" t="s">
        <v>105</v>
      </c>
      <c r="C97" s="4" t="s">
        <v>741</v>
      </c>
      <c r="D97" s="4" t="s">
        <v>632</v>
      </c>
      <c r="E97" s="4" t="s">
        <v>368</v>
      </c>
      <c r="F97" s="4" t="s">
        <v>369</v>
      </c>
      <c r="G97" s="4" t="s">
        <v>633</v>
      </c>
      <c r="J97" s="4" t="s">
        <v>742</v>
      </c>
      <c r="Z97" s="40" t="s">
        <v>748</v>
      </c>
      <c r="AA97" s="40" t="s">
        <v>261</v>
      </c>
      <c r="AB97" s="2" t="s">
        <v>116</v>
      </c>
      <c r="AC97" s="4" t="s">
        <v>117</v>
      </c>
      <c r="AD97" s="4" t="s">
        <v>118</v>
      </c>
      <c r="AE97" s="2" t="s">
        <v>262</v>
      </c>
      <c r="AF97" s="4" t="s">
        <v>415</v>
      </c>
      <c r="AG97" s="4" t="s">
        <v>416</v>
      </c>
      <c r="AI97" s="4" t="s">
        <v>122</v>
      </c>
      <c r="AJ97" s="2" t="s">
        <v>394</v>
      </c>
      <c r="AK97" s="4" t="s">
        <v>749</v>
      </c>
      <c r="AL97" s="2"/>
      <c r="AN97" s="4" t="s">
        <v>744</v>
      </c>
      <c r="AO97" s="4" t="s">
        <v>750</v>
      </c>
      <c r="AP97" s="4" t="str">
        <f t="array" ref="AP97">XLOOKUP(TRUE, CHOOSECOLS(A97:V97, 1, 4, 7, 10, 13, 16, 19, 22)&lt;&gt;"", CHOOSECOLS(A97:V97, 1, 4, 7, 10, 13, 16, 19, 22), "", 0, -1)</f>
        <v>Impact of V̇/Q̇ inequality</v>
      </c>
      <c r="AQ97" s="2"/>
      <c r="AR97" s="2" t="s">
        <v>270</v>
      </c>
      <c r="AS97" s="4" t="s">
        <v>543</v>
      </c>
      <c r="AT97" s="4" t="s">
        <v>655</v>
      </c>
      <c r="BF97" s="4" t="s">
        <v>746</v>
      </c>
      <c r="BR97" s="4" t="s">
        <v>136</v>
      </c>
      <c r="BS97" s="4" t="s">
        <v>747</v>
      </c>
      <c r="BT97" s="4">
        <v>5.0</v>
      </c>
      <c r="BU97" s="2"/>
      <c r="BV97" s="2"/>
      <c r="BW97" s="2"/>
      <c r="BX97" s="2"/>
      <c r="BY97" s="2"/>
      <c r="BZ97" s="2"/>
      <c r="CA97" s="2"/>
      <c r="CB97" s="2"/>
      <c r="CC97" s="2"/>
    </row>
    <row r="98">
      <c r="A98" s="4" t="s">
        <v>105</v>
      </c>
      <c r="B98" s="4" t="s">
        <v>105</v>
      </c>
      <c r="C98" s="4" t="s">
        <v>741</v>
      </c>
      <c r="D98" s="4" t="s">
        <v>632</v>
      </c>
      <c r="E98" s="4" t="s">
        <v>368</v>
      </c>
      <c r="F98" s="4" t="s">
        <v>369</v>
      </c>
      <c r="G98" s="4" t="s">
        <v>633</v>
      </c>
      <c r="J98" s="4" t="s">
        <v>742</v>
      </c>
      <c r="Z98" s="2" t="s">
        <v>751</v>
      </c>
      <c r="AA98" s="2" t="s">
        <v>261</v>
      </c>
      <c r="AB98" s="2" t="s">
        <v>116</v>
      </c>
      <c r="AC98" s="4" t="s">
        <v>117</v>
      </c>
      <c r="AD98" s="4" t="s">
        <v>118</v>
      </c>
      <c r="AE98" s="2" t="s">
        <v>262</v>
      </c>
      <c r="AF98" s="4" t="s">
        <v>415</v>
      </c>
      <c r="AG98" s="4" t="s">
        <v>416</v>
      </c>
      <c r="AI98" s="4" t="s">
        <v>312</v>
      </c>
      <c r="AJ98" s="2" t="s">
        <v>500</v>
      </c>
      <c r="AK98" s="4" t="s">
        <v>655</v>
      </c>
      <c r="AL98" s="2"/>
      <c r="AM98" s="4" t="s">
        <v>126</v>
      </c>
      <c r="AN98" s="4" t="s">
        <v>744</v>
      </c>
      <c r="AO98" s="4" t="s">
        <v>752</v>
      </c>
      <c r="AP98" s="4" t="str">
        <f t="array" ref="AP98">XLOOKUP(TRUE, CHOOSECOLS(A98:V98, 1, 4, 7, 10, 13, 16, 19, 22)&lt;&gt;"", CHOOSECOLS(A98:V98, 1, 4, 7, 10, 13, 16, 19, 22), "", 0, -1)</f>
        <v>Impact of V̇/Q̇ inequality</v>
      </c>
      <c r="AQ98" s="2"/>
      <c r="AR98" s="2" t="s">
        <v>270</v>
      </c>
      <c r="AS98" s="4" t="s">
        <v>543</v>
      </c>
      <c r="AT98" s="4" t="s">
        <v>655</v>
      </c>
      <c r="BF98" s="4" t="s">
        <v>746</v>
      </c>
      <c r="BR98" s="4" t="s">
        <v>136</v>
      </c>
      <c r="BS98" s="4" t="s">
        <v>747</v>
      </c>
      <c r="BT98" s="4">
        <v>5.0</v>
      </c>
      <c r="BU98" s="2"/>
      <c r="BV98" s="2"/>
      <c r="BW98" s="2"/>
      <c r="BX98" s="2"/>
      <c r="BY98" s="2"/>
      <c r="BZ98" s="2"/>
      <c r="CA98" s="2"/>
      <c r="CB98" s="2"/>
      <c r="CC98" s="2"/>
    </row>
    <row r="99">
      <c r="A99" s="4" t="s">
        <v>105</v>
      </c>
      <c r="B99" s="4" t="s">
        <v>105</v>
      </c>
      <c r="C99" s="4" t="s">
        <v>753</v>
      </c>
      <c r="D99" s="4" t="s">
        <v>632</v>
      </c>
      <c r="E99" s="4" t="s">
        <v>368</v>
      </c>
      <c r="F99" s="4" t="s">
        <v>369</v>
      </c>
      <c r="G99" s="4" t="s">
        <v>633</v>
      </c>
      <c r="J99" s="4" t="s">
        <v>754</v>
      </c>
      <c r="Z99" s="2" t="s">
        <v>755</v>
      </c>
      <c r="AA99" s="2" t="s">
        <v>261</v>
      </c>
      <c r="AB99" s="2" t="s">
        <v>116</v>
      </c>
      <c r="AC99" s="4" t="s">
        <v>117</v>
      </c>
      <c r="AD99" s="4" t="s">
        <v>118</v>
      </c>
      <c r="AE99" s="2" t="s">
        <v>262</v>
      </c>
      <c r="AF99" s="4" t="s">
        <v>415</v>
      </c>
      <c r="AG99" s="4" t="s">
        <v>416</v>
      </c>
      <c r="AI99" s="4" t="s">
        <v>357</v>
      </c>
      <c r="AJ99" s="2" t="s">
        <v>756</v>
      </c>
      <c r="AK99" s="2" t="s">
        <v>757</v>
      </c>
      <c r="AL99" s="2"/>
      <c r="AM99" s="4" t="s">
        <v>198</v>
      </c>
      <c r="AN99" s="4" t="s">
        <v>758</v>
      </c>
      <c r="AO99" s="4" t="s">
        <v>759</v>
      </c>
      <c r="AP99" s="4" t="str">
        <f t="array" ref="AP99">XLOOKUP(TRUE, CHOOSECOLS(A99:V99, 1, 4, 7, 10, 13, 16, 19, 22)&lt;&gt;"", CHOOSECOLS(A99:V99, 1, 4, 7, 10, 13, 16, 19, 22), "", 0, -1)</f>
        <v>CO₂ handling in V̇/Q̇ mismatch</v>
      </c>
      <c r="AQ99" s="2"/>
      <c r="AR99" s="2" t="s">
        <v>270</v>
      </c>
      <c r="AS99" s="4" t="s">
        <v>331</v>
      </c>
      <c r="AT99" s="4" t="s">
        <v>346</v>
      </c>
      <c r="AW99" s="4" t="s">
        <v>153</v>
      </c>
      <c r="BF99" s="4" t="s">
        <v>760</v>
      </c>
      <c r="BR99" s="4" t="s">
        <v>136</v>
      </c>
      <c r="BS99" s="4" t="s">
        <v>761</v>
      </c>
      <c r="BT99" s="4">
        <v>5.0</v>
      </c>
      <c r="BU99" s="2"/>
      <c r="BV99" s="2"/>
      <c r="BW99" s="2"/>
      <c r="BX99" s="2"/>
      <c r="BY99" s="2"/>
      <c r="BZ99" s="2"/>
      <c r="CA99" s="2"/>
      <c r="CB99" s="2"/>
      <c r="CC99" s="2"/>
    </row>
    <row r="100">
      <c r="A100" s="4" t="s">
        <v>105</v>
      </c>
      <c r="B100" s="4" t="s">
        <v>105</v>
      </c>
      <c r="C100" s="4" t="s">
        <v>753</v>
      </c>
      <c r="D100" s="4" t="s">
        <v>632</v>
      </c>
      <c r="E100" s="4" t="s">
        <v>368</v>
      </c>
      <c r="F100" s="4" t="s">
        <v>369</v>
      </c>
      <c r="G100" s="4" t="s">
        <v>633</v>
      </c>
      <c r="J100" s="4" t="s">
        <v>754</v>
      </c>
      <c r="Z100" s="2" t="s">
        <v>762</v>
      </c>
      <c r="AA100" s="2" t="s">
        <v>261</v>
      </c>
      <c r="AB100" s="2" t="s">
        <v>116</v>
      </c>
      <c r="AC100" s="4" t="s">
        <v>117</v>
      </c>
      <c r="AD100" s="4" t="s">
        <v>118</v>
      </c>
      <c r="AE100" s="2" t="s">
        <v>262</v>
      </c>
      <c r="AF100" s="4" t="s">
        <v>415</v>
      </c>
      <c r="AG100" s="4" t="s">
        <v>416</v>
      </c>
      <c r="AI100" s="4" t="s">
        <v>312</v>
      </c>
      <c r="AJ100" s="2" t="s">
        <v>763</v>
      </c>
      <c r="AK100" s="4" t="s">
        <v>652</v>
      </c>
      <c r="AL100" s="2"/>
      <c r="AM100" s="4" t="s">
        <v>182</v>
      </c>
      <c r="AN100" s="4" t="s">
        <v>758</v>
      </c>
      <c r="AO100" s="4" t="s">
        <v>764</v>
      </c>
      <c r="AP100" s="4" t="str">
        <f t="array" ref="AP100">XLOOKUP(TRUE, CHOOSECOLS(A100:V100, 1, 4, 7, 10, 13, 16, 19, 22)&lt;&gt;"", CHOOSECOLS(A100:V100, 1, 4, 7, 10, 13, 16, 19, 22), "", 0, -1)</f>
        <v>CO₂ handling in V̇/Q̇ mismatch</v>
      </c>
      <c r="AQ100" s="2"/>
      <c r="AR100" s="2" t="s">
        <v>270</v>
      </c>
      <c r="AS100" s="4" t="s">
        <v>331</v>
      </c>
      <c r="AT100" s="4" t="s">
        <v>346</v>
      </c>
      <c r="AW100" s="4" t="s">
        <v>153</v>
      </c>
      <c r="BF100" s="4" t="s">
        <v>760</v>
      </c>
      <c r="BR100" s="4" t="s">
        <v>136</v>
      </c>
      <c r="BS100" s="4" t="s">
        <v>761</v>
      </c>
      <c r="BT100" s="4">
        <v>5.0</v>
      </c>
      <c r="BU100" s="2"/>
      <c r="BV100" s="2"/>
      <c r="BW100" s="2"/>
      <c r="BX100" s="2"/>
      <c r="BY100" s="2"/>
      <c r="BZ100" s="2"/>
      <c r="CA100" s="2"/>
      <c r="CB100" s="2"/>
      <c r="CC100" s="2"/>
    </row>
    <row r="101">
      <c r="A101" s="4" t="s">
        <v>105</v>
      </c>
      <c r="B101" s="4" t="s">
        <v>105</v>
      </c>
      <c r="C101" s="4" t="s">
        <v>753</v>
      </c>
      <c r="D101" s="4" t="s">
        <v>632</v>
      </c>
      <c r="E101" s="4" t="s">
        <v>368</v>
      </c>
      <c r="F101" s="4" t="s">
        <v>369</v>
      </c>
      <c r="G101" s="4" t="s">
        <v>633</v>
      </c>
      <c r="J101" s="4" t="s">
        <v>754</v>
      </c>
      <c r="Z101" s="2" t="s">
        <v>765</v>
      </c>
      <c r="AA101" s="2" t="s">
        <v>261</v>
      </c>
      <c r="AB101" s="2" t="s">
        <v>116</v>
      </c>
      <c r="AC101" s="4" t="s">
        <v>117</v>
      </c>
      <c r="AD101" s="4" t="s">
        <v>118</v>
      </c>
      <c r="AE101" s="2" t="s">
        <v>262</v>
      </c>
      <c r="AF101" s="4" t="s">
        <v>415</v>
      </c>
      <c r="AG101" s="4" t="s">
        <v>416</v>
      </c>
      <c r="AI101" s="4" t="s">
        <v>312</v>
      </c>
      <c r="AJ101" s="2" t="s">
        <v>500</v>
      </c>
      <c r="AK101" s="4" t="s">
        <v>766</v>
      </c>
      <c r="AL101" s="2"/>
      <c r="AM101" s="4" t="s">
        <v>150</v>
      </c>
      <c r="AN101" s="4" t="s">
        <v>758</v>
      </c>
      <c r="AO101" s="4" t="s">
        <v>767</v>
      </c>
      <c r="AP101" s="4" t="str">
        <f t="array" ref="AP101">XLOOKUP(TRUE, CHOOSECOLS(A101:V101, 1, 4, 7, 10, 13, 16, 19, 22)&lt;&gt;"", CHOOSECOLS(A101:V101, 1, 4, 7, 10, 13, 16, 19, 22), "", 0, -1)</f>
        <v>CO₂ handling in V̇/Q̇ mismatch</v>
      </c>
      <c r="AQ101" s="2"/>
      <c r="AR101" s="2" t="s">
        <v>270</v>
      </c>
      <c r="AS101" s="4" t="s">
        <v>331</v>
      </c>
      <c r="AT101" s="4" t="s">
        <v>346</v>
      </c>
      <c r="AW101" s="4" t="s">
        <v>153</v>
      </c>
      <c r="BF101" s="4" t="s">
        <v>760</v>
      </c>
      <c r="BR101" s="4" t="s">
        <v>136</v>
      </c>
      <c r="BS101" s="4" t="s">
        <v>761</v>
      </c>
      <c r="BT101" s="4">
        <v>5.0</v>
      </c>
      <c r="BU101" s="2"/>
      <c r="BV101" s="2"/>
      <c r="BW101" s="2"/>
      <c r="BX101" s="2"/>
      <c r="BY101" s="2"/>
      <c r="BZ101" s="2"/>
      <c r="CA101" s="2"/>
      <c r="CB101" s="2"/>
      <c r="CC101" s="2"/>
    </row>
    <row r="102">
      <c r="A102" s="4" t="s">
        <v>105</v>
      </c>
      <c r="B102" s="4" t="s">
        <v>105</v>
      </c>
      <c r="C102" s="4" t="s">
        <v>768</v>
      </c>
      <c r="D102" s="4" t="s">
        <v>632</v>
      </c>
      <c r="E102" s="4" t="s">
        <v>368</v>
      </c>
      <c r="F102" s="4" t="s">
        <v>369</v>
      </c>
      <c r="G102" s="4" t="s">
        <v>633</v>
      </c>
      <c r="J102" s="4" t="s">
        <v>769</v>
      </c>
      <c r="K102" s="4" t="s">
        <v>770</v>
      </c>
      <c r="L102" s="4" t="s">
        <v>771</v>
      </c>
      <c r="Z102" s="41" t="s">
        <v>772</v>
      </c>
      <c r="AA102" s="2" t="s">
        <v>115</v>
      </c>
      <c r="AB102" s="2" t="s">
        <v>116</v>
      </c>
      <c r="AC102" s="4" t="s">
        <v>117</v>
      </c>
      <c r="AD102" s="4" t="s">
        <v>118</v>
      </c>
      <c r="AE102" s="4" t="s">
        <v>773</v>
      </c>
      <c r="AF102" s="4" t="s">
        <v>117</v>
      </c>
      <c r="AG102" s="4" t="s">
        <v>118</v>
      </c>
      <c r="AI102" s="4" t="s">
        <v>122</v>
      </c>
      <c r="AJ102" s="2" t="s">
        <v>774</v>
      </c>
      <c r="AK102" s="4" t="s">
        <v>775</v>
      </c>
      <c r="AL102" s="2"/>
      <c r="AM102" s="4" t="s">
        <v>198</v>
      </c>
      <c r="AN102" s="4" t="s">
        <v>776</v>
      </c>
      <c r="AO102" s="4" t="s">
        <v>777</v>
      </c>
      <c r="AP102" s="4" t="str">
        <f t="array" ref="AP102">XLOOKUP(TRUE, CHOOSECOLS(A102:V102, 1, 4, 7, 10, 13, 16, 19, 22)&lt;&gt;"", CHOOSECOLS(A102:V102, 1, 4, 7, 10, 13, 16, 19, 22), "", 0, -1)</f>
        <v>Inert gas method (concept)</v>
      </c>
      <c r="AQ102" s="2"/>
      <c r="AR102" s="2" t="s">
        <v>129</v>
      </c>
      <c r="AS102" s="4" t="s">
        <v>543</v>
      </c>
      <c r="AT102" s="4" t="s">
        <v>778</v>
      </c>
      <c r="BF102" s="4" t="s">
        <v>779</v>
      </c>
      <c r="BR102" s="4" t="s">
        <v>136</v>
      </c>
      <c r="BS102" s="4" t="s">
        <v>780</v>
      </c>
      <c r="BT102" s="4">
        <v>5.0</v>
      </c>
      <c r="BU102" s="2"/>
      <c r="BV102" s="2"/>
      <c r="BW102" s="2"/>
      <c r="BX102" s="2"/>
      <c r="BY102" s="2"/>
      <c r="BZ102" s="2"/>
      <c r="CA102" s="2"/>
      <c r="CB102" s="2"/>
      <c r="CC102" s="2"/>
    </row>
    <row r="103">
      <c r="A103" s="4" t="s">
        <v>105</v>
      </c>
      <c r="B103" s="4" t="s">
        <v>105</v>
      </c>
      <c r="C103" s="4" t="s">
        <v>768</v>
      </c>
      <c r="D103" s="4" t="s">
        <v>632</v>
      </c>
      <c r="E103" s="4" t="s">
        <v>368</v>
      </c>
      <c r="F103" s="4" t="s">
        <v>369</v>
      </c>
      <c r="G103" s="4" t="s">
        <v>633</v>
      </c>
      <c r="J103" s="4" t="s">
        <v>769</v>
      </c>
      <c r="K103" s="4" t="s">
        <v>770</v>
      </c>
      <c r="L103" s="4" t="s">
        <v>771</v>
      </c>
      <c r="Z103" s="41" t="s">
        <v>781</v>
      </c>
      <c r="AA103" s="2" t="s">
        <v>115</v>
      </c>
      <c r="AB103" s="2" t="s">
        <v>116</v>
      </c>
      <c r="AC103" s="4" t="s">
        <v>117</v>
      </c>
      <c r="AD103" s="4" t="s">
        <v>118</v>
      </c>
      <c r="AE103" s="4" t="s">
        <v>773</v>
      </c>
      <c r="AF103" s="4" t="s">
        <v>117</v>
      </c>
      <c r="AG103" s="4" t="s">
        <v>118</v>
      </c>
      <c r="AI103" s="4" t="s">
        <v>122</v>
      </c>
      <c r="AJ103" s="2" t="s">
        <v>782</v>
      </c>
      <c r="AK103" s="4" t="s">
        <v>783</v>
      </c>
      <c r="AL103" s="2"/>
      <c r="AN103" s="4" t="s">
        <v>776</v>
      </c>
      <c r="AO103" s="4" t="s">
        <v>784</v>
      </c>
      <c r="AP103" s="4" t="str">
        <f t="array" ref="AP103">XLOOKUP(TRUE, CHOOSECOLS(A103:V103, 1, 4, 7, 10, 13, 16, 19, 22)&lt;&gt;"", CHOOSECOLS(A103:V103, 1, 4, 7, 10, 13, 16, 19, 22), "", 0, -1)</f>
        <v>Inert gas method (concept)</v>
      </c>
      <c r="AQ103" s="2"/>
      <c r="AR103" s="2" t="s">
        <v>129</v>
      </c>
      <c r="AS103" s="4" t="s">
        <v>543</v>
      </c>
      <c r="AT103" s="4" t="s">
        <v>778</v>
      </c>
      <c r="BF103" s="4" t="s">
        <v>779</v>
      </c>
      <c r="BR103" s="4" t="s">
        <v>136</v>
      </c>
      <c r="BS103" s="4" t="s">
        <v>780</v>
      </c>
      <c r="BT103" s="4">
        <v>5.0</v>
      </c>
      <c r="BU103" s="2"/>
      <c r="BV103" s="2"/>
      <c r="BW103" s="2"/>
      <c r="BX103" s="2"/>
      <c r="BY103" s="2"/>
      <c r="BZ103" s="2"/>
      <c r="CA103" s="2"/>
      <c r="CB103" s="2"/>
      <c r="CC103" s="2"/>
    </row>
    <row r="104">
      <c r="A104" s="4" t="s">
        <v>105</v>
      </c>
      <c r="B104" s="4" t="s">
        <v>105</v>
      </c>
      <c r="C104" s="4" t="s">
        <v>768</v>
      </c>
      <c r="D104" s="4" t="s">
        <v>632</v>
      </c>
      <c r="E104" s="4" t="s">
        <v>368</v>
      </c>
      <c r="F104" s="4" t="s">
        <v>369</v>
      </c>
      <c r="G104" s="4" t="s">
        <v>633</v>
      </c>
      <c r="J104" s="4" t="s">
        <v>769</v>
      </c>
      <c r="K104" s="4" t="s">
        <v>770</v>
      </c>
      <c r="L104" s="4" t="s">
        <v>771</v>
      </c>
      <c r="Z104" s="41" t="s">
        <v>785</v>
      </c>
      <c r="AA104" s="2" t="s">
        <v>115</v>
      </c>
      <c r="AB104" s="2" t="s">
        <v>116</v>
      </c>
      <c r="AC104" s="4" t="s">
        <v>117</v>
      </c>
      <c r="AD104" s="4" t="s">
        <v>118</v>
      </c>
      <c r="AE104" s="4" t="s">
        <v>773</v>
      </c>
      <c r="AF104" s="4" t="s">
        <v>117</v>
      </c>
      <c r="AG104" s="4" t="s">
        <v>118</v>
      </c>
      <c r="AI104" s="4" t="s">
        <v>122</v>
      </c>
      <c r="AJ104" s="2" t="s">
        <v>782</v>
      </c>
      <c r="AK104" s="2" t="s">
        <v>783</v>
      </c>
      <c r="AL104" s="2"/>
      <c r="AN104" s="4" t="s">
        <v>776</v>
      </c>
      <c r="AO104" s="4" t="s">
        <v>786</v>
      </c>
      <c r="AP104" s="4" t="str">
        <f t="array" ref="AP104">XLOOKUP(TRUE, CHOOSECOLS(A104:V104, 1, 4, 7, 10, 13, 16, 19, 22)&lt;&gt;"", CHOOSECOLS(A104:V104, 1, 4, 7, 10, 13, 16, 19, 22), "", 0, -1)</f>
        <v>Inert gas method (concept)</v>
      </c>
      <c r="AQ104" s="2"/>
      <c r="AR104" s="2" t="s">
        <v>129</v>
      </c>
      <c r="AS104" s="4" t="s">
        <v>543</v>
      </c>
      <c r="AT104" s="4" t="s">
        <v>778</v>
      </c>
      <c r="BF104" s="4" t="s">
        <v>779</v>
      </c>
      <c r="BR104" s="4" t="s">
        <v>136</v>
      </c>
      <c r="BS104" s="4" t="s">
        <v>780</v>
      </c>
      <c r="BT104" s="4">
        <v>5.0</v>
      </c>
      <c r="BU104" s="2"/>
      <c r="BV104" s="2"/>
      <c r="BW104" s="2"/>
      <c r="BX104" s="2"/>
      <c r="BY104" s="2"/>
      <c r="BZ104" s="2"/>
      <c r="CA104" s="2"/>
      <c r="CB104" s="2"/>
      <c r="CC104" s="2"/>
    </row>
    <row r="105">
      <c r="A105" s="4" t="s">
        <v>105</v>
      </c>
      <c r="B105" s="4" t="s">
        <v>105</v>
      </c>
      <c r="C105" s="4" t="s">
        <v>787</v>
      </c>
      <c r="D105" s="4" t="s">
        <v>632</v>
      </c>
      <c r="E105" s="4" t="s">
        <v>368</v>
      </c>
      <c r="F105" s="4" t="s">
        <v>369</v>
      </c>
      <c r="G105" s="4" t="s">
        <v>633</v>
      </c>
      <c r="J105" s="4" t="s">
        <v>788</v>
      </c>
      <c r="Z105" s="2" t="s">
        <v>789</v>
      </c>
      <c r="AA105" s="2" t="s">
        <v>115</v>
      </c>
      <c r="AB105" s="2" t="s">
        <v>116</v>
      </c>
      <c r="AC105" s="4" t="s">
        <v>117</v>
      </c>
      <c r="AD105" s="4" t="s">
        <v>118</v>
      </c>
      <c r="AE105" s="4" t="s">
        <v>773</v>
      </c>
      <c r="AF105" s="4" t="s">
        <v>117</v>
      </c>
      <c r="AG105" s="4" t="s">
        <v>118</v>
      </c>
      <c r="AI105" s="4" t="s">
        <v>122</v>
      </c>
      <c r="AJ105" s="2" t="s">
        <v>559</v>
      </c>
      <c r="AK105" s="4" t="s">
        <v>276</v>
      </c>
      <c r="AL105" s="2"/>
      <c r="AM105" s="4" t="s">
        <v>126</v>
      </c>
      <c r="AN105" s="4" t="s">
        <v>790</v>
      </c>
      <c r="AO105" s="4" t="s">
        <v>791</v>
      </c>
      <c r="AP105" s="4" t="str">
        <f t="array" ref="AP105">XLOOKUP(TRUE, CHOOSECOLS(A105:V105, 1, 4, 7, 10, 13, 16, 19, 22)&lt;&gt;"", CHOOSECOLS(A105:V105, 1, 4, 7, 10, 13, 16, 19, 22), "", 0, -1)</f>
        <v>A–a PO₂ difference</v>
      </c>
      <c r="AQ105" s="2"/>
      <c r="AR105" s="2" t="s">
        <v>129</v>
      </c>
      <c r="AS105" s="4" t="s">
        <v>331</v>
      </c>
      <c r="AT105" s="4" t="s">
        <v>792</v>
      </c>
      <c r="BF105" s="4" t="s">
        <v>793</v>
      </c>
      <c r="BR105" s="4" t="s">
        <v>136</v>
      </c>
      <c r="BS105" s="4" t="s">
        <v>794</v>
      </c>
      <c r="BT105" s="4">
        <v>5.0</v>
      </c>
      <c r="BU105" s="2"/>
      <c r="BV105" s="2"/>
      <c r="BW105" s="2"/>
      <c r="BX105" s="2"/>
      <c r="BY105" s="2"/>
      <c r="BZ105" s="2"/>
      <c r="CA105" s="2"/>
      <c r="CB105" s="2"/>
      <c r="CC105" s="2"/>
    </row>
    <row r="106">
      <c r="A106" s="4" t="s">
        <v>105</v>
      </c>
      <c r="B106" s="4" t="s">
        <v>105</v>
      </c>
      <c r="C106" s="4" t="s">
        <v>787</v>
      </c>
      <c r="D106" s="4" t="s">
        <v>632</v>
      </c>
      <c r="E106" s="4" t="s">
        <v>368</v>
      </c>
      <c r="F106" s="4" t="s">
        <v>369</v>
      </c>
      <c r="G106" s="4" t="s">
        <v>633</v>
      </c>
      <c r="J106" s="4" t="s">
        <v>788</v>
      </c>
      <c r="Z106" s="2" t="s">
        <v>795</v>
      </c>
      <c r="AA106" s="2" t="s">
        <v>115</v>
      </c>
      <c r="AB106" s="2" t="s">
        <v>116</v>
      </c>
      <c r="AC106" s="4" t="s">
        <v>117</v>
      </c>
      <c r="AD106" s="4" t="s">
        <v>118</v>
      </c>
      <c r="AE106" s="4" t="s">
        <v>773</v>
      </c>
      <c r="AF106" s="4" t="s">
        <v>117</v>
      </c>
      <c r="AG106" s="4" t="s">
        <v>118</v>
      </c>
      <c r="AI106" s="4" t="s">
        <v>122</v>
      </c>
      <c r="AJ106" s="2" t="s">
        <v>140</v>
      </c>
      <c r="AK106" s="4" t="s">
        <v>796</v>
      </c>
      <c r="AL106" s="4" t="s">
        <v>797</v>
      </c>
      <c r="AM106" s="4" t="s">
        <v>126</v>
      </c>
      <c r="AN106" s="4" t="s">
        <v>790</v>
      </c>
      <c r="AO106" s="4" t="s">
        <v>798</v>
      </c>
      <c r="AP106" s="4" t="str">
        <f t="array" ref="AP106">XLOOKUP(TRUE, CHOOSECOLS(A106:V106, 1, 4, 7, 10, 13, 16, 19, 22)&lt;&gt;"", CHOOSECOLS(A106:V106, 1, 4, 7, 10, 13, 16, 19, 22), "", 0, -1)</f>
        <v>A–a PO₂ difference</v>
      </c>
      <c r="AQ106" s="2"/>
      <c r="AR106" s="2" t="s">
        <v>129</v>
      </c>
      <c r="AS106" s="4" t="s">
        <v>331</v>
      </c>
      <c r="AT106" s="4" t="s">
        <v>792</v>
      </c>
      <c r="BF106" s="4" t="s">
        <v>793</v>
      </c>
      <c r="BR106" s="4" t="s">
        <v>136</v>
      </c>
      <c r="BS106" s="4" t="s">
        <v>794</v>
      </c>
      <c r="BT106" s="4">
        <v>5.0</v>
      </c>
      <c r="BU106" s="2"/>
      <c r="BV106" s="2"/>
      <c r="BW106" s="2"/>
      <c r="BX106" s="2"/>
      <c r="BY106" s="2"/>
      <c r="BZ106" s="2"/>
      <c r="CA106" s="2"/>
      <c r="CB106" s="2"/>
      <c r="CC106" s="2"/>
    </row>
    <row r="107">
      <c r="A107" s="4" t="s">
        <v>105</v>
      </c>
      <c r="B107" s="4" t="s">
        <v>105</v>
      </c>
      <c r="C107" s="4" t="s">
        <v>787</v>
      </c>
      <c r="D107" s="4" t="s">
        <v>632</v>
      </c>
      <c r="E107" s="4" t="s">
        <v>368</v>
      </c>
      <c r="F107" s="4" t="s">
        <v>369</v>
      </c>
      <c r="G107" s="4" t="s">
        <v>633</v>
      </c>
      <c r="J107" s="4" t="s">
        <v>788</v>
      </c>
      <c r="Z107" s="2" t="s">
        <v>799</v>
      </c>
      <c r="AA107" s="2" t="s">
        <v>115</v>
      </c>
      <c r="AB107" s="2" t="s">
        <v>116</v>
      </c>
      <c r="AC107" s="4" t="s">
        <v>117</v>
      </c>
      <c r="AD107" s="4" t="s">
        <v>118</v>
      </c>
      <c r="AE107" s="4" t="s">
        <v>773</v>
      </c>
      <c r="AF107" s="4" t="s">
        <v>117</v>
      </c>
      <c r="AG107" s="4" t="s">
        <v>118</v>
      </c>
      <c r="AI107" s="4" t="s">
        <v>122</v>
      </c>
      <c r="AJ107" s="2" t="s">
        <v>430</v>
      </c>
      <c r="AK107" s="4" t="s">
        <v>655</v>
      </c>
      <c r="AL107" s="2"/>
      <c r="AM107" s="4" t="s">
        <v>126</v>
      </c>
      <c r="AN107" s="4" t="s">
        <v>790</v>
      </c>
      <c r="AO107" s="4" t="s">
        <v>800</v>
      </c>
      <c r="AP107" s="4" t="str">
        <f t="array" ref="AP107">XLOOKUP(TRUE, CHOOSECOLS(A107:V107, 1, 4, 7, 10, 13, 16, 19, 22)&lt;&gt;"", CHOOSECOLS(A107:V107, 1, 4, 7, 10, 13, 16, 19, 22), "", 0, -1)</f>
        <v>A–a PO₂ difference</v>
      </c>
      <c r="AQ107" s="2"/>
      <c r="AR107" s="2" t="s">
        <v>129</v>
      </c>
      <c r="AS107" s="4" t="s">
        <v>331</v>
      </c>
      <c r="AT107" s="4" t="s">
        <v>792</v>
      </c>
      <c r="BF107" s="4" t="s">
        <v>793</v>
      </c>
      <c r="BR107" s="4" t="s">
        <v>136</v>
      </c>
      <c r="BS107" s="4" t="s">
        <v>794</v>
      </c>
      <c r="BT107" s="4">
        <v>5.0</v>
      </c>
      <c r="BU107" s="2"/>
      <c r="BV107" s="2"/>
      <c r="BW107" s="2"/>
      <c r="BX107" s="2"/>
      <c r="BY107" s="2"/>
      <c r="BZ107" s="2"/>
      <c r="CA107" s="2"/>
      <c r="CB107" s="2"/>
      <c r="CC107" s="2"/>
    </row>
    <row r="108">
      <c r="A108" s="4" t="s">
        <v>105</v>
      </c>
      <c r="B108" s="4" t="s">
        <v>105</v>
      </c>
      <c r="C108" s="4" t="s">
        <v>801</v>
      </c>
      <c r="D108" s="4" t="s">
        <v>632</v>
      </c>
      <c r="E108" s="4" t="s">
        <v>368</v>
      </c>
      <c r="F108" s="4" t="s">
        <v>369</v>
      </c>
      <c r="G108" s="4" t="s">
        <v>633</v>
      </c>
      <c r="J108" s="4" t="s">
        <v>802</v>
      </c>
      <c r="K108" s="4" t="s">
        <v>803</v>
      </c>
      <c r="L108" s="4" t="s">
        <v>804</v>
      </c>
      <c r="Z108" s="2" t="s">
        <v>805</v>
      </c>
      <c r="AA108" s="2" t="s">
        <v>195</v>
      </c>
      <c r="AB108" s="2" t="s">
        <v>116</v>
      </c>
      <c r="AC108" s="4" t="s">
        <v>117</v>
      </c>
      <c r="AD108" s="4" t="s">
        <v>118</v>
      </c>
      <c r="AE108" s="4" t="s">
        <v>179</v>
      </c>
      <c r="AF108" s="4" t="s">
        <v>120</v>
      </c>
      <c r="AG108" s="4" t="s">
        <v>121</v>
      </c>
      <c r="AI108" s="4" t="s">
        <v>312</v>
      </c>
      <c r="AJ108" s="2" t="s">
        <v>394</v>
      </c>
      <c r="AK108" s="4" t="s">
        <v>276</v>
      </c>
      <c r="AL108" s="2"/>
      <c r="AM108" s="4" t="s">
        <v>126</v>
      </c>
      <c r="AN108" s="4" t="s">
        <v>806</v>
      </c>
      <c r="AO108" s="4" t="s">
        <v>807</v>
      </c>
      <c r="AP108" s="4" t="str">
        <f t="array" ref="AP108">XLOOKUP(TRUE, CHOOSECOLS(A108:V108, 1, 4, 7, 10, 13, 16, 19, 22)&lt;&gt;"", CHOOSECOLS(A108:V108, 1, 4, 7, 10, 13, 16, 19, 22), "", 0, -1)</f>
        <v>O₂ response as diagnostic</v>
      </c>
      <c r="AQ108" s="2"/>
      <c r="AR108" s="2" t="s">
        <v>201</v>
      </c>
      <c r="AS108" s="4" t="s">
        <v>331</v>
      </c>
      <c r="AT108" s="4" t="s">
        <v>271</v>
      </c>
      <c r="BF108" s="4" t="s">
        <v>808</v>
      </c>
      <c r="BR108" s="4" t="s">
        <v>136</v>
      </c>
      <c r="BS108" s="4" t="s">
        <v>809</v>
      </c>
      <c r="BT108" s="4">
        <v>5.0</v>
      </c>
      <c r="BU108" s="2"/>
      <c r="BV108" s="2"/>
      <c r="BW108" s="2"/>
      <c r="BX108" s="2"/>
      <c r="BY108" s="2"/>
      <c r="BZ108" s="2"/>
      <c r="CA108" s="2"/>
      <c r="CB108" s="2"/>
      <c r="CC108" s="2"/>
    </row>
    <row r="109">
      <c r="A109" s="4" t="s">
        <v>105</v>
      </c>
      <c r="B109" s="4" t="s">
        <v>105</v>
      </c>
      <c r="C109" s="4" t="s">
        <v>801</v>
      </c>
      <c r="D109" s="4" t="s">
        <v>632</v>
      </c>
      <c r="E109" s="4" t="s">
        <v>368</v>
      </c>
      <c r="F109" s="4" t="s">
        <v>369</v>
      </c>
      <c r="G109" s="4" t="s">
        <v>633</v>
      </c>
      <c r="J109" s="4" t="s">
        <v>802</v>
      </c>
      <c r="K109" s="4" t="s">
        <v>803</v>
      </c>
      <c r="L109" s="4" t="s">
        <v>804</v>
      </c>
      <c r="Z109" s="2" t="s">
        <v>810</v>
      </c>
      <c r="AA109" s="2" t="s">
        <v>195</v>
      </c>
      <c r="AB109" s="2" t="s">
        <v>116</v>
      </c>
      <c r="AC109" s="4" t="s">
        <v>117</v>
      </c>
      <c r="AD109" s="4" t="s">
        <v>118</v>
      </c>
      <c r="AE109" s="4" t="s">
        <v>179</v>
      </c>
      <c r="AF109" s="4" t="s">
        <v>120</v>
      </c>
      <c r="AG109" s="4" t="s">
        <v>121</v>
      </c>
      <c r="AI109" s="4" t="s">
        <v>312</v>
      </c>
      <c r="AJ109" s="2" t="s">
        <v>811</v>
      </c>
      <c r="AK109" s="4" t="s">
        <v>245</v>
      </c>
      <c r="AL109" s="2"/>
      <c r="AM109" s="4" t="s">
        <v>126</v>
      </c>
      <c r="AN109" s="4" t="s">
        <v>806</v>
      </c>
      <c r="AO109" s="4" t="s">
        <v>812</v>
      </c>
      <c r="AP109" s="4" t="str">
        <f t="array" ref="AP109">XLOOKUP(TRUE, CHOOSECOLS(A109:V109, 1, 4, 7, 10, 13, 16, 19, 22)&lt;&gt;"", CHOOSECOLS(A109:V109, 1, 4, 7, 10, 13, 16, 19, 22), "", 0, -1)</f>
        <v>O₂ response as diagnostic</v>
      </c>
      <c r="AQ109" s="2"/>
      <c r="AR109" s="2" t="s">
        <v>201</v>
      </c>
      <c r="AS109" s="4" t="s">
        <v>331</v>
      </c>
      <c r="AT109" s="4" t="s">
        <v>271</v>
      </c>
      <c r="BF109" s="4" t="s">
        <v>808</v>
      </c>
      <c r="BR109" s="4" t="s">
        <v>136</v>
      </c>
      <c r="BS109" s="4" t="s">
        <v>809</v>
      </c>
      <c r="BT109" s="4">
        <v>5.0</v>
      </c>
      <c r="BU109" s="2"/>
      <c r="BV109" s="2"/>
      <c r="BW109" s="2"/>
      <c r="BX109" s="2"/>
      <c r="BY109" s="2"/>
      <c r="BZ109" s="2"/>
      <c r="CA109" s="2"/>
      <c r="CB109" s="2"/>
      <c r="CC109" s="2"/>
    </row>
    <row r="110">
      <c r="A110" s="4" t="s">
        <v>105</v>
      </c>
      <c r="B110" s="4" t="s">
        <v>105</v>
      </c>
      <c r="C110" s="4" t="s">
        <v>801</v>
      </c>
      <c r="D110" s="4" t="s">
        <v>632</v>
      </c>
      <c r="E110" s="4" t="s">
        <v>368</v>
      </c>
      <c r="F110" s="4" t="s">
        <v>369</v>
      </c>
      <c r="G110" s="4" t="s">
        <v>633</v>
      </c>
      <c r="J110" s="4" t="s">
        <v>802</v>
      </c>
      <c r="K110" s="4" t="s">
        <v>803</v>
      </c>
      <c r="L110" s="4" t="s">
        <v>804</v>
      </c>
      <c r="Z110" s="2" t="s">
        <v>813</v>
      </c>
      <c r="AA110" s="2" t="s">
        <v>195</v>
      </c>
      <c r="AB110" s="2" t="s">
        <v>116</v>
      </c>
      <c r="AC110" s="4" t="s">
        <v>117</v>
      </c>
      <c r="AD110" s="4" t="s">
        <v>118</v>
      </c>
      <c r="AE110" s="4" t="s">
        <v>179</v>
      </c>
      <c r="AF110" s="4" t="s">
        <v>120</v>
      </c>
      <c r="AG110" s="4" t="s">
        <v>121</v>
      </c>
      <c r="AI110" s="4" t="s">
        <v>357</v>
      </c>
      <c r="AJ110" s="2" t="s">
        <v>811</v>
      </c>
      <c r="AK110" s="4" t="s">
        <v>245</v>
      </c>
      <c r="AL110" s="2"/>
      <c r="AM110" s="4" t="s">
        <v>126</v>
      </c>
      <c r="AN110" s="4" t="s">
        <v>806</v>
      </c>
      <c r="AO110" s="4" t="s">
        <v>814</v>
      </c>
      <c r="AP110" s="4" t="str">
        <f t="array" ref="AP110">XLOOKUP(TRUE, CHOOSECOLS(A110:V110, 1, 4, 7, 10, 13, 16, 19, 22)&lt;&gt;"", CHOOSECOLS(A110:V110, 1, 4, 7, 10, 13, 16, 19, 22), "", 0, -1)</f>
        <v>O₂ response as diagnostic</v>
      </c>
      <c r="AQ110" s="2"/>
      <c r="AR110" s="2" t="s">
        <v>201</v>
      </c>
      <c r="AS110" s="4" t="s">
        <v>331</v>
      </c>
      <c r="AT110" s="4" t="s">
        <v>271</v>
      </c>
      <c r="BF110" s="2" t="s">
        <v>808</v>
      </c>
      <c r="BR110" s="4" t="s">
        <v>136</v>
      </c>
      <c r="BS110" s="4" t="s">
        <v>809</v>
      </c>
      <c r="BT110" s="4">
        <v>5.0</v>
      </c>
      <c r="BU110" s="2"/>
      <c r="BV110" s="2"/>
      <c r="BW110" s="2"/>
      <c r="BX110" s="2"/>
      <c r="BY110" s="2"/>
      <c r="BZ110" s="2"/>
      <c r="CA110" s="2"/>
      <c r="CB110" s="2"/>
      <c r="CC110" s="2"/>
    </row>
    <row r="111">
      <c r="A111" s="4" t="s">
        <v>105</v>
      </c>
      <c r="B111" s="4" t="s">
        <v>105</v>
      </c>
      <c r="C111" s="4" t="s">
        <v>815</v>
      </c>
      <c r="D111" s="4" t="s">
        <v>816</v>
      </c>
      <c r="E111" s="4" t="s">
        <v>189</v>
      </c>
      <c r="F111" s="4" t="s">
        <v>190</v>
      </c>
      <c r="G111" s="4" t="s">
        <v>817</v>
      </c>
      <c r="H111" s="4" t="s">
        <v>635</v>
      </c>
      <c r="I111" s="4" t="s">
        <v>636</v>
      </c>
      <c r="J111" s="4" t="s">
        <v>818</v>
      </c>
      <c r="K111" s="4" t="s">
        <v>819</v>
      </c>
      <c r="L111" s="4" t="s">
        <v>820</v>
      </c>
      <c r="Z111" s="2" t="s">
        <v>821</v>
      </c>
      <c r="AA111" s="2" t="s">
        <v>115</v>
      </c>
      <c r="AB111" s="2" t="s">
        <v>116</v>
      </c>
      <c r="AC111" s="4" t="s">
        <v>117</v>
      </c>
      <c r="AD111" s="4" t="s">
        <v>118</v>
      </c>
      <c r="AE111" s="4" t="s">
        <v>243</v>
      </c>
      <c r="AF111" s="4" t="s">
        <v>120</v>
      </c>
      <c r="AG111" s="4" t="s">
        <v>121</v>
      </c>
      <c r="AI111" s="4" t="s">
        <v>122</v>
      </c>
      <c r="AJ111" s="2" t="s">
        <v>140</v>
      </c>
      <c r="AK111" s="4" t="s">
        <v>822</v>
      </c>
      <c r="AL111" s="4" t="s">
        <v>823</v>
      </c>
      <c r="AM111" s="4" t="s">
        <v>824</v>
      </c>
      <c r="AN111" s="4" t="s">
        <v>825</v>
      </c>
      <c r="AO111" s="2" t="s">
        <v>826</v>
      </c>
      <c r="AP111" s="4" t="str">
        <f t="array" ref="AP111">XLOOKUP(TRUE, CHOOSECOLS(A111:V111, 1, 4, 7, 10, 13, 16, 19, 22)&lt;&gt;"", CHOOSECOLS(A111:V111, 1, 4, 7, 10, 13, 16, 19, 22), "", 0, -1)</f>
        <v>O₂ carriage in solution</v>
      </c>
      <c r="AQ111" s="2"/>
      <c r="AR111" s="2" t="s">
        <v>129</v>
      </c>
      <c r="AS111" s="4" t="s">
        <v>227</v>
      </c>
      <c r="AT111" s="4" t="s">
        <v>827</v>
      </c>
      <c r="BF111" s="4" t="s">
        <v>828</v>
      </c>
      <c r="BI111" s="4" t="s">
        <v>829</v>
      </c>
      <c r="BR111" s="4" t="s">
        <v>136</v>
      </c>
      <c r="BS111" s="4" t="s">
        <v>830</v>
      </c>
      <c r="BT111" s="4">
        <v>6.0</v>
      </c>
      <c r="BU111" s="2"/>
      <c r="BV111" s="2"/>
      <c r="BW111" s="2"/>
      <c r="BX111" s="2"/>
      <c r="BY111" s="2"/>
      <c r="BZ111" s="2"/>
      <c r="CA111" s="2"/>
      <c r="CB111" s="2"/>
      <c r="CC111" s="2"/>
    </row>
    <row r="112">
      <c r="A112" s="4" t="s">
        <v>105</v>
      </c>
      <c r="B112" s="4" t="s">
        <v>105</v>
      </c>
      <c r="C112" s="4" t="s">
        <v>815</v>
      </c>
      <c r="D112" s="4" t="s">
        <v>816</v>
      </c>
      <c r="E112" s="4" t="s">
        <v>189</v>
      </c>
      <c r="F112" s="4" t="s">
        <v>190</v>
      </c>
      <c r="G112" s="4" t="s">
        <v>817</v>
      </c>
      <c r="H112" s="4" t="s">
        <v>635</v>
      </c>
      <c r="I112" s="4" t="s">
        <v>636</v>
      </c>
      <c r="J112" s="4" t="s">
        <v>818</v>
      </c>
      <c r="K112" s="4" t="s">
        <v>819</v>
      </c>
      <c r="L112" s="4" t="s">
        <v>820</v>
      </c>
      <c r="Z112" s="2" t="s">
        <v>831</v>
      </c>
      <c r="AA112" s="2" t="s">
        <v>115</v>
      </c>
      <c r="AB112" s="2" t="s">
        <v>116</v>
      </c>
      <c r="AC112" s="4" t="s">
        <v>117</v>
      </c>
      <c r="AD112" s="4" t="s">
        <v>118</v>
      </c>
      <c r="AE112" s="4" t="s">
        <v>243</v>
      </c>
      <c r="AF112" s="4" t="s">
        <v>120</v>
      </c>
      <c r="AG112" s="4" t="s">
        <v>121</v>
      </c>
      <c r="AI112" s="4" t="s">
        <v>122</v>
      </c>
      <c r="AJ112" s="2" t="s">
        <v>832</v>
      </c>
      <c r="AK112" s="4" t="s">
        <v>833</v>
      </c>
      <c r="AL112" s="2"/>
      <c r="AM112" s="4" t="s">
        <v>824</v>
      </c>
      <c r="AN112" s="4" t="s">
        <v>825</v>
      </c>
      <c r="AO112" s="4" t="s">
        <v>834</v>
      </c>
      <c r="AP112" s="4" t="str">
        <f t="array" ref="AP112">XLOOKUP(TRUE, CHOOSECOLS(A112:V112, 1, 4, 7, 10, 13, 16, 19, 22)&lt;&gt;"", CHOOSECOLS(A112:V112, 1, 4, 7, 10, 13, 16, 19, 22), "", 0, -1)</f>
        <v>O₂ carriage in solution</v>
      </c>
      <c r="AQ112" s="2"/>
      <c r="AR112" s="2" t="s">
        <v>129</v>
      </c>
      <c r="AS112" s="4" t="s">
        <v>227</v>
      </c>
      <c r="AT112" s="4" t="s">
        <v>827</v>
      </c>
      <c r="BF112" s="4" t="s">
        <v>828</v>
      </c>
      <c r="BI112" s="4" t="s">
        <v>829</v>
      </c>
      <c r="BR112" s="4" t="s">
        <v>136</v>
      </c>
      <c r="BS112" s="4" t="s">
        <v>830</v>
      </c>
      <c r="BT112" s="4">
        <v>6.0</v>
      </c>
      <c r="BU112" s="2"/>
      <c r="BV112" s="2"/>
      <c r="BW112" s="2"/>
      <c r="BX112" s="2"/>
      <c r="BY112" s="2"/>
      <c r="BZ112" s="2"/>
      <c r="CA112" s="2"/>
      <c r="CB112" s="2"/>
      <c r="CC112" s="2"/>
    </row>
    <row r="113">
      <c r="A113" s="4" t="s">
        <v>105</v>
      </c>
      <c r="B113" s="4" t="s">
        <v>105</v>
      </c>
      <c r="C113" s="4" t="s">
        <v>815</v>
      </c>
      <c r="D113" s="4" t="s">
        <v>816</v>
      </c>
      <c r="E113" s="4" t="s">
        <v>189</v>
      </c>
      <c r="F113" s="4" t="s">
        <v>190</v>
      </c>
      <c r="G113" s="4" t="s">
        <v>817</v>
      </c>
      <c r="H113" s="4" t="s">
        <v>635</v>
      </c>
      <c r="I113" s="4" t="s">
        <v>636</v>
      </c>
      <c r="J113" s="4" t="s">
        <v>818</v>
      </c>
      <c r="K113" s="4" t="s">
        <v>819</v>
      </c>
      <c r="L113" s="4" t="s">
        <v>820</v>
      </c>
      <c r="Z113" s="2" t="s">
        <v>835</v>
      </c>
      <c r="AA113" s="2" t="s">
        <v>115</v>
      </c>
      <c r="AB113" s="2" t="s">
        <v>116</v>
      </c>
      <c r="AC113" s="4" t="s">
        <v>117</v>
      </c>
      <c r="AD113" s="4" t="s">
        <v>118</v>
      </c>
      <c r="AE113" s="4" t="s">
        <v>243</v>
      </c>
      <c r="AF113" s="4" t="s">
        <v>120</v>
      </c>
      <c r="AG113" s="4" t="s">
        <v>121</v>
      </c>
      <c r="AI113" s="4" t="s">
        <v>357</v>
      </c>
      <c r="AJ113" s="2" t="s">
        <v>836</v>
      </c>
      <c r="AK113" s="4" t="s">
        <v>833</v>
      </c>
      <c r="AL113" s="2"/>
      <c r="AN113" s="4" t="s">
        <v>825</v>
      </c>
      <c r="AO113" s="4" t="s">
        <v>837</v>
      </c>
      <c r="AP113" s="4" t="str">
        <f t="array" ref="AP113">XLOOKUP(TRUE, CHOOSECOLS(A113:V113, 1, 4, 7, 10, 13, 16, 19, 22)&lt;&gt;"", CHOOSECOLS(A113:V113, 1, 4, 7, 10, 13, 16, 19, 22), "", 0, -1)</f>
        <v>O₂ carriage in solution</v>
      </c>
      <c r="AQ113" s="2"/>
      <c r="AR113" s="2" t="s">
        <v>129</v>
      </c>
      <c r="AS113" s="4" t="s">
        <v>227</v>
      </c>
      <c r="AT113" s="4" t="s">
        <v>827</v>
      </c>
      <c r="BF113" s="4" t="s">
        <v>828</v>
      </c>
      <c r="BI113" s="4" t="s">
        <v>829</v>
      </c>
      <c r="BR113" s="4" t="s">
        <v>136</v>
      </c>
      <c r="BS113" s="4" t="s">
        <v>830</v>
      </c>
      <c r="BT113" s="4">
        <v>6.0</v>
      </c>
      <c r="BU113" s="2"/>
      <c r="BV113" s="2"/>
      <c r="BW113" s="2"/>
      <c r="BX113" s="2"/>
      <c r="BY113" s="2"/>
      <c r="BZ113" s="2"/>
      <c r="CA113" s="2"/>
      <c r="CB113" s="2"/>
      <c r="CC113" s="2"/>
    </row>
    <row r="114">
      <c r="A114" s="4" t="s">
        <v>105</v>
      </c>
      <c r="B114" s="4" t="s">
        <v>105</v>
      </c>
      <c r="C114" s="4" t="s">
        <v>838</v>
      </c>
      <c r="D114" s="4" t="s">
        <v>816</v>
      </c>
      <c r="E114" s="4" t="s">
        <v>189</v>
      </c>
      <c r="F114" s="4" t="s">
        <v>190</v>
      </c>
      <c r="G114" s="4" t="s">
        <v>817</v>
      </c>
      <c r="H114" s="4" t="s">
        <v>635</v>
      </c>
      <c r="I114" s="4" t="s">
        <v>636</v>
      </c>
      <c r="J114" s="4" t="s">
        <v>839</v>
      </c>
      <c r="Z114" s="2" t="s">
        <v>840</v>
      </c>
      <c r="AA114" s="2" t="s">
        <v>509</v>
      </c>
      <c r="AB114" s="2" t="s">
        <v>116</v>
      </c>
      <c r="AC114" s="4" t="s">
        <v>117</v>
      </c>
      <c r="AD114" s="4" t="s">
        <v>118</v>
      </c>
      <c r="AE114" s="4" t="s">
        <v>525</v>
      </c>
      <c r="AF114" s="4" t="s">
        <v>525</v>
      </c>
      <c r="AG114" s="4" t="s">
        <v>526</v>
      </c>
      <c r="AI114" s="4" t="s">
        <v>122</v>
      </c>
      <c r="AJ114" s="2" t="s">
        <v>841</v>
      </c>
      <c r="AK114" s="4" t="s">
        <v>842</v>
      </c>
      <c r="AL114" s="2"/>
      <c r="AM114" s="4" t="s">
        <v>824</v>
      </c>
      <c r="AN114" s="4" t="s">
        <v>843</v>
      </c>
      <c r="AO114" s="4" t="s">
        <v>844</v>
      </c>
      <c r="AP114" s="4" t="str">
        <f t="array" ref="AP114">XLOOKUP(TRUE, CHOOSECOLS(A114:V114, 1, 4, 7, 10, 13, 16, 19, 22)&lt;&gt;"", CHOOSECOLS(A114:V114, 1, 4, 7, 10, 13, 16, 19, 22), "", 0, -1)</f>
        <v>O₂ carriage on Hb</v>
      </c>
      <c r="AQ114" s="2"/>
      <c r="AR114" s="2" t="s">
        <v>518</v>
      </c>
      <c r="AS114" s="4" t="s">
        <v>227</v>
      </c>
      <c r="AT114" s="4" t="s">
        <v>479</v>
      </c>
      <c r="BF114" s="4" t="s">
        <v>845</v>
      </c>
      <c r="BR114" s="4" t="s">
        <v>136</v>
      </c>
      <c r="BS114" s="4" t="s">
        <v>846</v>
      </c>
      <c r="BT114" s="4">
        <v>6.0</v>
      </c>
      <c r="BU114" s="2"/>
      <c r="BV114" s="2"/>
      <c r="BW114" s="2"/>
      <c r="BX114" s="2"/>
      <c r="BY114" s="2"/>
      <c r="BZ114" s="2"/>
      <c r="CA114" s="2"/>
      <c r="CB114" s="2"/>
      <c r="CC114" s="2"/>
    </row>
    <row r="115">
      <c r="A115" s="4" t="s">
        <v>105</v>
      </c>
      <c r="B115" s="4" t="s">
        <v>105</v>
      </c>
      <c r="C115" s="4" t="s">
        <v>838</v>
      </c>
      <c r="D115" s="4" t="s">
        <v>816</v>
      </c>
      <c r="E115" s="4" t="s">
        <v>189</v>
      </c>
      <c r="F115" s="4" t="s">
        <v>190</v>
      </c>
      <c r="G115" s="4" t="s">
        <v>817</v>
      </c>
      <c r="H115" s="4" t="s">
        <v>635</v>
      </c>
      <c r="I115" s="4" t="s">
        <v>636</v>
      </c>
      <c r="J115" s="4" t="s">
        <v>839</v>
      </c>
      <c r="Z115" s="2" t="s">
        <v>847</v>
      </c>
      <c r="AA115" s="2" t="s">
        <v>509</v>
      </c>
      <c r="AB115" s="2" t="s">
        <v>116</v>
      </c>
      <c r="AC115" s="4" t="s">
        <v>117</v>
      </c>
      <c r="AD115" s="4" t="s">
        <v>118</v>
      </c>
      <c r="AE115" s="4" t="s">
        <v>525</v>
      </c>
      <c r="AF115" s="4" t="s">
        <v>525</v>
      </c>
      <c r="AG115" s="4" t="s">
        <v>526</v>
      </c>
      <c r="AI115" s="4" t="s">
        <v>122</v>
      </c>
      <c r="AJ115" s="2" t="s">
        <v>559</v>
      </c>
      <c r="AK115" s="4" t="s">
        <v>848</v>
      </c>
      <c r="AL115" s="2"/>
      <c r="AM115" s="4" t="s">
        <v>824</v>
      </c>
      <c r="AN115" s="4" t="s">
        <v>843</v>
      </c>
      <c r="AO115" s="4" t="s">
        <v>849</v>
      </c>
      <c r="AP115" s="4" t="str">
        <f t="array" ref="AP115">XLOOKUP(TRUE, CHOOSECOLS(A115:V115, 1, 4, 7, 10, 13, 16, 19, 22)&lt;&gt;"", CHOOSECOLS(A115:V115, 1, 4, 7, 10, 13, 16, 19, 22), "", 0, -1)</f>
        <v>O₂ carriage on Hb</v>
      </c>
      <c r="AQ115" s="2"/>
      <c r="AR115" s="2" t="s">
        <v>518</v>
      </c>
      <c r="AS115" s="4" t="s">
        <v>227</v>
      </c>
      <c r="AT115" s="4" t="s">
        <v>479</v>
      </c>
      <c r="BF115" s="4" t="s">
        <v>845</v>
      </c>
      <c r="BR115" s="4" t="s">
        <v>136</v>
      </c>
      <c r="BS115" s="4" t="s">
        <v>846</v>
      </c>
      <c r="BT115" s="4">
        <v>6.0</v>
      </c>
      <c r="BU115" s="2"/>
      <c r="BV115" s="2"/>
      <c r="BW115" s="2"/>
      <c r="BX115" s="2"/>
      <c r="BY115" s="2"/>
      <c r="BZ115" s="2"/>
      <c r="CA115" s="2"/>
      <c r="CB115" s="2"/>
      <c r="CC115" s="2"/>
    </row>
    <row r="116">
      <c r="A116" s="4" t="s">
        <v>105</v>
      </c>
      <c r="B116" s="4" t="s">
        <v>105</v>
      </c>
      <c r="C116" s="4" t="s">
        <v>838</v>
      </c>
      <c r="D116" s="4" t="s">
        <v>816</v>
      </c>
      <c r="E116" s="4" t="s">
        <v>189</v>
      </c>
      <c r="F116" s="4" t="s">
        <v>190</v>
      </c>
      <c r="G116" s="4" t="s">
        <v>817</v>
      </c>
      <c r="H116" s="4" t="s">
        <v>635</v>
      </c>
      <c r="I116" s="4" t="s">
        <v>636</v>
      </c>
      <c r="J116" s="4" t="s">
        <v>839</v>
      </c>
      <c r="Z116" s="2" t="s">
        <v>850</v>
      </c>
      <c r="AA116" s="2" t="s">
        <v>509</v>
      </c>
      <c r="AB116" s="2" t="s">
        <v>116</v>
      </c>
      <c r="AC116" s="4" t="s">
        <v>117</v>
      </c>
      <c r="AD116" s="4" t="s">
        <v>118</v>
      </c>
      <c r="AE116" s="4" t="s">
        <v>525</v>
      </c>
      <c r="AF116" s="4" t="s">
        <v>525</v>
      </c>
      <c r="AG116" s="4" t="s">
        <v>526</v>
      </c>
      <c r="AI116" s="4" t="s">
        <v>122</v>
      </c>
      <c r="AJ116" s="2" t="s">
        <v>140</v>
      </c>
      <c r="AK116" s="4" t="s">
        <v>851</v>
      </c>
      <c r="AL116" s="4" t="s">
        <v>852</v>
      </c>
      <c r="AM116" s="4" t="s">
        <v>824</v>
      </c>
      <c r="AN116" s="4" t="s">
        <v>843</v>
      </c>
      <c r="AO116" s="4" t="s">
        <v>853</v>
      </c>
      <c r="AP116" s="4" t="str">
        <f t="array" ref="AP116">XLOOKUP(TRUE, CHOOSECOLS(A116:V116, 1, 4, 7, 10, 13, 16, 19, 22)&lt;&gt;"", CHOOSECOLS(A116:V116, 1, 4, 7, 10, 13, 16, 19, 22), "", 0, -1)</f>
        <v>O₂ carriage on Hb</v>
      </c>
      <c r="AQ116" s="2"/>
      <c r="AR116" s="2" t="s">
        <v>518</v>
      </c>
      <c r="AS116" s="4" t="s">
        <v>227</v>
      </c>
      <c r="AT116" s="4" t="s">
        <v>479</v>
      </c>
      <c r="BF116" s="4" t="s">
        <v>845</v>
      </c>
      <c r="BR116" s="4" t="s">
        <v>136</v>
      </c>
      <c r="BS116" s="4" t="s">
        <v>846</v>
      </c>
      <c r="BT116" s="4">
        <v>6.0</v>
      </c>
      <c r="BU116" s="2"/>
      <c r="BV116" s="2"/>
      <c r="BW116" s="2"/>
      <c r="BX116" s="2"/>
      <c r="BY116" s="2"/>
      <c r="BZ116" s="2"/>
      <c r="CA116" s="2"/>
      <c r="CB116" s="2"/>
      <c r="CC116" s="2"/>
    </row>
    <row r="117">
      <c r="A117" s="4" t="s">
        <v>105</v>
      </c>
      <c r="B117" s="4" t="s">
        <v>105</v>
      </c>
      <c r="C117" s="4" t="s">
        <v>854</v>
      </c>
      <c r="D117" s="4" t="s">
        <v>816</v>
      </c>
      <c r="E117" s="4" t="s">
        <v>189</v>
      </c>
      <c r="F117" s="4" t="s">
        <v>190</v>
      </c>
      <c r="G117" s="4" t="s">
        <v>817</v>
      </c>
      <c r="H117" s="4" t="s">
        <v>635</v>
      </c>
      <c r="I117" s="4" t="s">
        <v>636</v>
      </c>
      <c r="J117" s="2" t="s">
        <v>855</v>
      </c>
      <c r="Z117" s="2" t="s">
        <v>856</v>
      </c>
      <c r="AA117" s="2" t="s">
        <v>509</v>
      </c>
      <c r="AB117" s="2" t="s">
        <v>116</v>
      </c>
      <c r="AC117" s="4" t="s">
        <v>117</v>
      </c>
      <c r="AD117" s="4" t="s">
        <v>118</v>
      </c>
      <c r="AE117" s="4" t="s">
        <v>857</v>
      </c>
      <c r="AF117" s="4" t="s">
        <v>858</v>
      </c>
      <c r="AG117" s="4" t="s">
        <v>859</v>
      </c>
      <c r="AI117" s="4" t="s">
        <v>122</v>
      </c>
      <c r="AJ117" s="2" t="s">
        <v>860</v>
      </c>
      <c r="AK117" s="2" t="s">
        <v>861</v>
      </c>
      <c r="AL117" s="2"/>
      <c r="AN117" s="4" t="s">
        <v>862</v>
      </c>
      <c r="AO117" s="4" t="s">
        <v>863</v>
      </c>
      <c r="AP117" s="4" t="str">
        <f t="array" ref="AP117">XLOOKUP(TRUE, CHOOSECOLS(A117:V117, 1, 4, 7, 10, 13, 16, 19, 22)&lt;&gt;"", CHOOSECOLS(A117:V117, 1, 4, 7, 10, 13, 16, 19, 22), "", 0, -1)</f>
        <v>O₂ dissociation curve</v>
      </c>
      <c r="AQ117" s="2"/>
      <c r="AR117" s="2" t="s">
        <v>518</v>
      </c>
      <c r="AS117" s="4" t="s">
        <v>227</v>
      </c>
      <c r="AT117" s="4" t="s">
        <v>864</v>
      </c>
      <c r="AW117" s="4" t="s">
        <v>865</v>
      </c>
      <c r="BF117" s="4" t="s">
        <v>866</v>
      </c>
      <c r="BR117" s="4" t="s">
        <v>136</v>
      </c>
      <c r="BS117" s="4" t="s">
        <v>867</v>
      </c>
      <c r="BT117" s="4">
        <v>6.0</v>
      </c>
      <c r="BU117" s="2"/>
      <c r="BV117" s="2"/>
      <c r="BW117" s="2"/>
      <c r="BX117" s="2"/>
      <c r="BY117" s="2"/>
      <c r="BZ117" s="2"/>
      <c r="CA117" s="2"/>
      <c r="CB117" s="2"/>
      <c r="CC117" s="2"/>
    </row>
    <row r="118">
      <c r="A118" s="4" t="s">
        <v>105</v>
      </c>
      <c r="B118" s="4" t="s">
        <v>105</v>
      </c>
      <c r="C118" s="4" t="s">
        <v>854</v>
      </c>
      <c r="D118" s="4" t="s">
        <v>816</v>
      </c>
      <c r="E118" s="4" t="s">
        <v>189</v>
      </c>
      <c r="F118" s="4" t="s">
        <v>190</v>
      </c>
      <c r="G118" s="4" t="s">
        <v>817</v>
      </c>
      <c r="H118" s="4" t="s">
        <v>635</v>
      </c>
      <c r="I118" s="4" t="s">
        <v>636</v>
      </c>
      <c r="J118" s="2" t="s">
        <v>855</v>
      </c>
      <c r="Z118" s="2" t="s">
        <v>868</v>
      </c>
      <c r="AA118" s="2" t="s">
        <v>509</v>
      </c>
      <c r="AB118" s="2" t="s">
        <v>116</v>
      </c>
      <c r="AC118" s="4" t="s">
        <v>117</v>
      </c>
      <c r="AD118" s="4" t="s">
        <v>118</v>
      </c>
      <c r="AE118" s="4" t="s">
        <v>857</v>
      </c>
      <c r="AF118" s="4" t="s">
        <v>858</v>
      </c>
      <c r="AG118" s="4" t="s">
        <v>859</v>
      </c>
      <c r="AI118" s="4" t="s">
        <v>122</v>
      </c>
      <c r="AJ118" s="2" t="s">
        <v>869</v>
      </c>
      <c r="AK118" s="4" t="s">
        <v>870</v>
      </c>
      <c r="AL118" s="2"/>
      <c r="AM118" s="4" t="s">
        <v>256</v>
      </c>
      <c r="AN118" s="4" t="s">
        <v>862</v>
      </c>
      <c r="AO118" s="4" t="s">
        <v>871</v>
      </c>
      <c r="AP118" s="4" t="str">
        <f t="array" ref="AP118">XLOOKUP(TRUE, CHOOSECOLS(A118:V118, 1, 4, 7, 10, 13, 16, 19, 22)&lt;&gt;"", CHOOSECOLS(A118:V118, 1, 4, 7, 10, 13, 16, 19, 22), "", 0, -1)</f>
        <v>O₂ dissociation curve</v>
      </c>
      <c r="AQ118" s="2"/>
      <c r="AR118" s="2" t="s">
        <v>518</v>
      </c>
      <c r="AS118" s="4" t="s">
        <v>227</v>
      </c>
      <c r="AT118" s="4" t="s">
        <v>864</v>
      </c>
      <c r="AW118" s="4" t="s">
        <v>865</v>
      </c>
      <c r="BF118" s="4" t="s">
        <v>866</v>
      </c>
      <c r="BR118" s="4" t="s">
        <v>136</v>
      </c>
      <c r="BS118" s="4" t="s">
        <v>867</v>
      </c>
      <c r="BT118" s="4">
        <v>6.0</v>
      </c>
      <c r="BU118" s="2"/>
      <c r="BV118" s="2"/>
      <c r="BW118" s="2"/>
      <c r="BX118" s="2"/>
      <c r="BY118" s="2"/>
      <c r="BZ118" s="2"/>
      <c r="CA118" s="2"/>
      <c r="CB118" s="2"/>
      <c r="CC118" s="2"/>
    </row>
    <row r="119">
      <c r="A119" s="4" t="s">
        <v>105</v>
      </c>
      <c r="B119" s="4" t="s">
        <v>105</v>
      </c>
      <c r="C119" s="4" t="s">
        <v>854</v>
      </c>
      <c r="D119" s="4" t="s">
        <v>816</v>
      </c>
      <c r="E119" s="4" t="s">
        <v>189</v>
      </c>
      <c r="F119" s="4" t="s">
        <v>190</v>
      </c>
      <c r="G119" s="4" t="s">
        <v>817</v>
      </c>
      <c r="H119" s="4" t="s">
        <v>635</v>
      </c>
      <c r="I119" s="4" t="s">
        <v>636</v>
      </c>
      <c r="J119" s="2" t="s">
        <v>855</v>
      </c>
      <c r="Z119" s="2" t="s">
        <v>872</v>
      </c>
      <c r="AA119" s="2" t="s">
        <v>509</v>
      </c>
      <c r="AB119" s="2" t="s">
        <v>116</v>
      </c>
      <c r="AC119" s="4" t="s">
        <v>117</v>
      </c>
      <c r="AD119" s="4" t="s">
        <v>118</v>
      </c>
      <c r="AE119" s="4" t="s">
        <v>857</v>
      </c>
      <c r="AF119" s="4" t="s">
        <v>858</v>
      </c>
      <c r="AG119" s="4" t="s">
        <v>859</v>
      </c>
      <c r="AI119" s="4" t="s">
        <v>122</v>
      </c>
      <c r="AJ119" s="2" t="s">
        <v>394</v>
      </c>
      <c r="AK119" s="4" t="s">
        <v>855</v>
      </c>
      <c r="AL119" s="2"/>
      <c r="AN119" s="4" t="s">
        <v>862</v>
      </c>
      <c r="AO119" s="4" t="s">
        <v>873</v>
      </c>
      <c r="AP119" s="4" t="str">
        <f t="array" ref="AP119">XLOOKUP(TRUE, CHOOSECOLS(A119:V119, 1, 4, 7, 10, 13, 16, 19, 22)&lt;&gt;"", CHOOSECOLS(A119:V119, 1, 4, 7, 10, 13, 16, 19, 22), "", 0, -1)</f>
        <v>O₂ dissociation curve</v>
      </c>
      <c r="AQ119" s="2"/>
      <c r="AR119" s="2" t="s">
        <v>518</v>
      </c>
      <c r="AS119" s="4" t="s">
        <v>227</v>
      </c>
      <c r="AT119" s="4" t="s">
        <v>864</v>
      </c>
      <c r="AW119" s="4" t="s">
        <v>865</v>
      </c>
      <c r="BF119" s="4" t="s">
        <v>866</v>
      </c>
      <c r="BR119" s="4" t="s">
        <v>136</v>
      </c>
      <c r="BS119" s="4" t="s">
        <v>867</v>
      </c>
      <c r="BT119" s="4">
        <v>6.0</v>
      </c>
      <c r="BU119" s="2"/>
      <c r="BV119" s="2"/>
      <c r="BW119" s="2"/>
      <c r="BX119" s="2"/>
      <c r="BY119" s="2"/>
      <c r="BZ119" s="2"/>
      <c r="CA119" s="2"/>
      <c r="CB119" s="2"/>
      <c r="CC119" s="2"/>
    </row>
    <row r="120">
      <c r="A120" s="4" t="s">
        <v>105</v>
      </c>
      <c r="B120" s="4" t="s">
        <v>105</v>
      </c>
      <c r="C120" s="4" t="s">
        <v>874</v>
      </c>
      <c r="D120" s="4" t="s">
        <v>816</v>
      </c>
      <c r="E120" s="4" t="s">
        <v>189</v>
      </c>
      <c r="F120" s="4" t="s">
        <v>190</v>
      </c>
      <c r="G120" s="4" t="s">
        <v>817</v>
      </c>
      <c r="H120" s="4" t="s">
        <v>635</v>
      </c>
      <c r="I120" s="4" t="s">
        <v>636</v>
      </c>
      <c r="J120" s="4" t="s">
        <v>875</v>
      </c>
      <c r="K120" s="4" t="s">
        <v>876</v>
      </c>
      <c r="L120" s="4" t="s">
        <v>877</v>
      </c>
      <c r="Z120" s="2" t="s">
        <v>878</v>
      </c>
      <c r="AA120" s="2" t="s">
        <v>509</v>
      </c>
      <c r="AB120" s="2" t="s">
        <v>116</v>
      </c>
      <c r="AC120" s="4" t="s">
        <v>117</v>
      </c>
      <c r="AD120" s="4" t="s">
        <v>118</v>
      </c>
      <c r="AE120" s="4" t="s">
        <v>857</v>
      </c>
      <c r="AF120" s="4" t="s">
        <v>858</v>
      </c>
      <c r="AG120" s="4" t="s">
        <v>859</v>
      </c>
      <c r="AI120" s="4" t="s">
        <v>357</v>
      </c>
      <c r="AJ120" s="2" t="s">
        <v>879</v>
      </c>
      <c r="AK120" s="4" t="s">
        <v>880</v>
      </c>
      <c r="AL120" s="2"/>
      <c r="AM120" s="4" t="s">
        <v>126</v>
      </c>
      <c r="AN120" s="4" t="s">
        <v>881</v>
      </c>
      <c r="AO120" s="4" t="s">
        <v>882</v>
      </c>
      <c r="AP120" s="4" t="str">
        <f t="array" ref="AP120">XLOOKUP(TRUE, CHOOSECOLS(A120:V120, 1, 4, 7, 10, 13, 16, 19, 22)&lt;&gt;"", CHOOSECOLS(A120:V120, 1, 4, 7, 10, 13, 16, 19, 22), "", 0, -1)</f>
        <v>Curve shifts (Bohr/temperature/DPG)</v>
      </c>
      <c r="AQ120" s="2"/>
      <c r="AR120" s="2" t="s">
        <v>518</v>
      </c>
      <c r="AS120" s="4" t="s">
        <v>883</v>
      </c>
      <c r="AT120" s="4" t="s">
        <v>884</v>
      </c>
      <c r="AW120" s="4" t="s">
        <v>132</v>
      </c>
      <c r="AX120" s="4" t="s">
        <v>133</v>
      </c>
      <c r="AY120" s="4" t="s">
        <v>134</v>
      </c>
      <c r="BF120" s="4" t="s">
        <v>885</v>
      </c>
      <c r="BI120" s="4" t="s">
        <v>886</v>
      </c>
      <c r="BR120" s="4" t="s">
        <v>136</v>
      </c>
      <c r="BS120" s="4" t="s">
        <v>887</v>
      </c>
      <c r="BT120" s="4">
        <v>6.0</v>
      </c>
      <c r="BU120" s="2"/>
      <c r="BV120" s="2"/>
      <c r="BW120" s="2"/>
      <c r="BX120" s="2"/>
      <c r="BY120" s="2"/>
      <c r="BZ120" s="2"/>
      <c r="CA120" s="2"/>
      <c r="CB120" s="2"/>
      <c r="CC120" s="2"/>
    </row>
    <row r="121">
      <c r="A121" s="4" t="s">
        <v>105</v>
      </c>
      <c r="B121" s="4" t="s">
        <v>105</v>
      </c>
      <c r="C121" s="4" t="s">
        <v>874</v>
      </c>
      <c r="D121" s="4" t="s">
        <v>816</v>
      </c>
      <c r="E121" s="4" t="s">
        <v>189</v>
      </c>
      <c r="F121" s="4" t="s">
        <v>190</v>
      </c>
      <c r="G121" s="4" t="s">
        <v>817</v>
      </c>
      <c r="H121" s="4" t="s">
        <v>635</v>
      </c>
      <c r="I121" s="4" t="s">
        <v>636</v>
      </c>
      <c r="J121" s="4" t="s">
        <v>875</v>
      </c>
      <c r="K121" s="4" t="s">
        <v>876</v>
      </c>
      <c r="L121" s="4" t="s">
        <v>877</v>
      </c>
      <c r="Z121" s="2" t="s">
        <v>888</v>
      </c>
      <c r="AA121" s="2" t="s">
        <v>509</v>
      </c>
      <c r="AB121" s="2" t="s">
        <v>116</v>
      </c>
      <c r="AC121" s="4" t="s">
        <v>117</v>
      </c>
      <c r="AD121" s="4" t="s">
        <v>118</v>
      </c>
      <c r="AE121" s="4" t="s">
        <v>857</v>
      </c>
      <c r="AF121" s="4" t="s">
        <v>858</v>
      </c>
      <c r="AG121" s="4" t="s">
        <v>859</v>
      </c>
      <c r="AI121" s="4" t="s">
        <v>312</v>
      </c>
      <c r="AJ121" s="2" t="s">
        <v>879</v>
      </c>
      <c r="AK121" s="4" t="s">
        <v>880</v>
      </c>
      <c r="AL121" s="2"/>
      <c r="AM121" s="4" t="s">
        <v>126</v>
      </c>
      <c r="AN121" s="4" t="s">
        <v>881</v>
      </c>
      <c r="AO121" s="4" t="s">
        <v>889</v>
      </c>
      <c r="AP121" s="4" t="str">
        <f t="array" ref="AP121">XLOOKUP(TRUE, CHOOSECOLS(A121:V121, 1, 4, 7, 10, 13, 16, 19, 22)&lt;&gt;"", CHOOSECOLS(A121:V121, 1, 4, 7, 10, 13, 16, 19, 22), "", 0, -1)</f>
        <v>Curve shifts (Bohr/temperature/DPG)</v>
      </c>
      <c r="AQ121" s="2"/>
      <c r="AR121" s="2" t="s">
        <v>518</v>
      </c>
      <c r="AS121" s="4" t="s">
        <v>883</v>
      </c>
      <c r="AT121" s="4" t="s">
        <v>884</v>
      </c>
      <c r="AW121" s="4" t="s">
        <v>132</v>
      </c>
      <c r="AX121" s="4" t="s">
        <v>133</v>
      </c>
      <c r="AY121" s="4" t="s">
        <v>134</v>
      </c>
      <c r="BF121" s="4" t="s">
        <v>885</v>
      </c>
      <c r="BI121" s="4" t="s">
        <v>886</v>
      </c>
      <c r="BR121" s="4" t="s">
        <v>136</v>
      </c>
      <c r="BS121" s="4" t="s">
        <v>887</v>
      </c>
      <c r="BT121" s="4">
        <v>6.0</v>
      </c>
      <c r="BU121" s="2"/>
      <c r="BV121" s="2"/>
      <c r="BW121" s="2"/>
      <c r="BX121" s="2"/>
      <c r="BY121" s="2"/>
      <c r="BZ121" s="2"/>
      <c r="CA121" s="2"/>
      <c r="CB121" s="2"/>
      <c r="CC121" s="2"/>
    </row>
    <row r="122">
      <c r="A122" s="4" t="s">
        <v>105</v>
      </c>
      <c r="B122" s="4" t="s">
        <v>105</v>
      </c>
      <c r="C122" s="4" t="s">
        <v>874</v>
      </c>
      <c r="D122" s="4" t="s">
        <v>816</v>
      </c>
      <c r="E122" s="4" t="s">
        <v>189</v>
      </c>
      <c r="F122" s="4" t="s">
        <v>190</v>
      </c>
      <c r="G122" s="4" t="s">
        <v>817</v>
      </c>
      <c r="H122" s="4" t="s">
        <v>635</v>
      </c>
      <c r="I122" s="4" t="s">
        <v>636</v>
      </c>
      <c r="J122" s="4" t="s">
        <v>875</v>
      </c>
      <c r="K122" s="4" t="s">
        <v>876</v>
      </c>
      <c r="L122" s="4" t="s">
        <v>877</v>
      </c>
      <c r="Z122" s="2" t="s">
        <v>890</v>
      </c>
      <c r="AA122" s="2" t="s">
        <v>509</v>
      </c>
      <c r="AB122" s="2" t="s">
        <v>116</v>
      </c>
      <c r="AC122" s="4" t="s">
        <v>117</v>
      </c>
      <c r="AD122" s="4" t="s">
        <v>118</v>
      </c>
      <c r="AE122" s="4" t="s">
        <v>857</v>
      </c>
      <c r="AF122" s="4" t="s">
        <v>858</v>
      </c>
      <c r="AG122" s="4" t="s">
        <v>859</v>
      </c>
      <c r="AI122" s="4" t="s">
        <v>122</v>
      </c>
      <c r="AJ122" s="2" t="s">
        <v>891</v>
      </c>
      <c r="AK122" s="4" t="s">
        <v>892</v>
      </c>
      <c r="AL122" s="2"/>
      <c r="AM122" s="4" t="s">
        <v>126</v>
      </c>
      <c r="AN122" s="4" t="s">
        <v>881</v>
      </c>
      <c r="AO122" s="4" t="s">
        <v>893</v>
      </c>
      <c r="AP122" s="4" t="str">
        <f t="array" ref="AP122">XLOOKUP(TRUE, CHOOSECOLS(A122:V122, 1, 4, 7, 10, 13, 16, 19, 22)&lt;&gt;"", CHOOSECOLS(A122:V122, 1, 4, 7, 10, 13, 16, 19, 22), "", 0, -1)</f>
        <v>Curve shifts (Bohr/temperature/DPG)</v>
      </c>
      <c r="AQ122" s="2"/>
      <c r="AR122" s="2" t="s">
        <v>518</v>
      </c>
      <c r="AS122" s="4" t="s">
        <v>883</v>
      </c>
      <c r="AT122" s="4" t="s">
        <v>884</v>
      </c>
      <c r="AW122" s="4" t="s">
        <v>132</v>
      </c>
      <c r="AX122" s="4" t="s">
        <v>133</v>
      </c>
      <c r="AY122" s="4" t="s">
        <v>134</v>
      </c>
      <c r="BF122" s="4" t="s">
        <v>885</v>
      </c>
      <c r="BI122" s="4" t="s">
        <v>886</v>
      </c>
      <c r="BR122" s="4" t="s">
        <v>136</v>
      </c>
      <c r="BS122" s="4" t="s">
        <v>887</v>
      </c>
      <c r="BT122" s="4">
        <v>6.0</v>
      </c>
      <c r="BU122" s="2"/>
      <c r="BV122" s="2"/>
      <c r="BW122" s="2"/>
      <c r="BX122" s="2"/>
      <c r="BY122" s="2"/>
      <c r="BZ122" s="2"/>
      <c r="CA122" s="2"/>
      <c r="CB122" s="2"/>
      <c r="CC122" s="2"/>
    </row>
    <row r="123">
      <c r="A123" s="4" t="s">
        <v>105</v>
      </c>
      <c r="B123" s="4" t="s">
        <v>105</v>
      </c>
      <c r="C123" s="4" t="s">
        <v>894</v>
      </c>
      <c r="D123" s="4" t="s">
        <v>816</v>
      </c>
      <c r="E123" s="4" t="s">
        <v>189</v>
      </c>
      <c r="F123" s="4" t="s">
        <v>190</v>
      </c>
      <c r="G123" s="4" t="s">
        <v>817</v>
      </c>
      <c r="H123" s="4" t="s">
        <v>635</v>
      </c>
      <c r="I123" s="4" t="s">
        <v>636</v>
      </c>
      <c r="J123" s="4" t="s">
        <v>895</v>
      </c>
      <c r="Z123" s="2" t="s">
        <v>896</v>
      </c>
      <c r="AA123" s="2" t="s">
        <v>509</v>
      </c>
      <c r="AB123" s="2" t="s">
        <v>116</v>
      </c>
      <c r="AC123" s="4" t="s">
        <v>117</v>
      </c>
      <c r="AD123" s="4" t="s">
        <v>118</v>
      </c>
      <c r="AE123" s="4" t="s">
        <v>857</v>
      </c>
      <c r="AF123" s="4" t="s">
        <v>858</v>
      </c>
      <c r="AG123" s="4" t="s">
        <v>859</v>
      </c>
      <c r="AI123" s="4" t="s">
        <v>357</v>
      </c>
      <c r="AJ123" s="2" t="s">
        <v>897</v>
      </c>
      <c r="AK123" s="4" t="s">
        <v>842</v>
      </c>
      <c r="AL123" s="2"/>
      <c r="AM123" s="4" t="s">
        <v>824</v>
      </c>
      <c r="AN123" s="4" t="s">
        <v>898</v>
      </c>
      <c r="AO123" s="4" t="s">
        <v>899</v>
      </c>
      <c r="AP123" s="4" t="str">
        <f t="array" ref="AP123">XLOOKUP(TRUE, CHOOSECOLS(A123:V123, 1, 4, 7, 10, 13, 16, 19, 22)&lt;&gt;"", CHOOSECOLS(A123:V123, 1, 4, 7, 10, 13, 16, 19, 22), "", 0, -1)</f>
        <v>Abnormal Hbs</v>
      </c>
      <c r="AQ123" s="2"/>
      <c r="AR123" s="2" t="s">
        <v>518</v>
      </c>
      <c r="AS123" s="4" t="s">
        <v>543</v>
      </c>
      <c r="AT123" s="4" t="s">
        <v>900</v>
      </c>
      <c r="AU123" s="4" t="s">
        <v>901</v>
      </c>
      <c r="AV123" s="4" t="s">
        <v>902</v>
      </c>
      <c r="AW123" s="4" t="s">
        <v>903</v>
      </c>
      <c r="BF123" s="4" t="s">
        <v>904</v>
      </c>
      <c r="BR123" s="4" t="s">
        <v>136</v>
      </c>
      <c r="BS123" s="4" t="s">
        <v>905</v>
      </c>
      <c r="BT123" s="4">
        <v>6.0</v>
      </c>
      <c r="BU123" s="2"/>
      <c r="BV123" s="2"/>
      <c r="BW123" s="2"/>
      <c r="BX123" s="2"/>
      <c r="BY123" s="2"/>
      <c r="BZ123" s="2"/>
      <c r="CA123" s="2"/>
      <c r="CB123" s="2"/>
      <c r="CC123" s="2"/>
    </row>
    <row r="124">
      <c r="A124" s="4" t="s">
        <v>105</v>
      </c>
      <c r="B124" s="4" t="s">
        <v>105</v>
      </c>
      <c r="C124" s="4" t="s">
        <v>894</v>
      </c>
      <c r="D124" s="4" t="s">
        <v>816</v>
      </c>
      <c r="E124" s="4" t="s">
        <v>189</v>
      </c>
      <c r="F124" s="4" t="s">
        <v>190</v>
      </c>
      <c r="G124" s="4" t="s">
        <v>817</v>
      </c>
      <c r="H124" s="4" t="s">
        <v>635</v>
      </c>
      <c r="I124" s="4" t="s">
        <v>636</v>
      </c>
      <c r="J124" s="4" t="s">
        <v>895</v>
      </c>
      <c r="Z124" s="2" t="s">
        <v>906</v>
      </c>
      <c r="AA124" s="2" t="s">
        <v>509</v>
      </c>
      <c r="AB124" s="2" t="s">
        <v>116</v>
      </c>
      <c r="AC124" s="4" t="s">
        <v>117</v>
      </c>
      <c r="AD124" s="4" t="s">
        <v>118</v>
      </c>
      <c r="AE124" s="4" t="s">
        <v>857</v>
      </c>
      <c r="AF124" s="4" t="s">
        <v>858</v>
      </c>
      <c r="AG124" s="4" t="s">
        <v>859</v>
      </c>
      <c r="AI124" s="4" t="s">
        <v>357</v>
      </c>
      <c r="AJ124" s="2" t="s">
        <v>897</v>
      </c>
      <c r="AK124" s="4" t="s">
        <v>848</v>
      </c>
      <c r="AL124" s="2"/>
      <c r="AM124" s="4" t="s">
        <v>824</v>
      </c>
      <c r="AN124" s="4" t="s">
        <v>898</v>
      </c>
      <c r="AO124" s="4" t="s">
        <v>907</v>
      </c>
      <c r="AP124" s="4" t="str">
        <f t="array" ref="AP124">XLOOKUP(TRUE, CHOOSECOLS(A124:V124, 1, 4, 7, 10, 13, 16, 19, 22)&lt;&gt;"", CHOOSECOLS(A124:V124, 1, 4, 7, 10, 13, 16, 19, 22), "", 0, -1)</f>
        <v>Abnormal Hbs</v>
      </c>
      <c r="AQ124" s="2"/>
      <c r="AR124" s="2" t="s">
        <v>518</v>
      </c>
      <c r="AS124" s="4" t="s">
        <v>543</v>
      </c>
      <c r="AT124" s="4" t="s">
        <v>900</v>
      </c>
      <c r="AU124" s="4" t="s">
        <v>901</v>
      </c>
      <c r="AV124" s="4" t="s">
        <v>902</v>
      </c>
      <c r="AW124" s="4" t="s">
        <v>903</v>
      </c>
      <c r="BF124" s="4" t="s">
        <v>904</v>
      </c>
      <c r="BR124" s="4" t="s">
        <v>136</v>
      </c>
      <c r="BS124" s="4" t="s">
        <v>905</v>
      </c>
      <c r="BT124" s="4">
        <v>6.0</v>
      </c>
      <c r="BU124" s="2"/>
      <c r="BV124" s="2"/>
      <c r="BW124" s="2"/>
      <c r="BX124" s="2"/>
      <c r="BY124" s="2"/>
      <c r="BZ124" s="2"/>
      <c r="CA124" s="2"/>
      <c r="CB124" s="2"/>
      <c r="CC124" s="2"/>
    </row>
    <row r="125">
      <c r="A125" s="4" t="s">
        <v>105</v>
      </c>
      <c r="B125" s="4" t="s">
        <v>105</v>
      </c>
      <c r="C125" s="4" t="s">
        <v>894</v>
      </c>
      <c r="D125" s="4" t="s">
        <v>816</v>
      </c>
      <c r="E125" s="4" t="s">
        <v>189</v>
      </c>
      <c r="F125" s="4" t="s">
        <v>190</v>
      </c>
      <c r="G125" s="4" t="s">
        <v>817</v>
      </c>
      <c r="H125" s="4" t="s">
        <v>635</v>
      </c>
      <c r="I125" s="4" t="s">
        <v>636</v>
      </c>
      <c r="J125" s="4" t="s">
        <v>895</v>
      </c>
      <c r="Z125" s="2" t="s">
        <v>908</v>
      </c>
      <c r="AA125" s="2" t="s">
        <v>509</v>
      </c>
      <c r="AB125" s="2" t="s">
        <v>116</v>
      </c>
      <c r="AC125" s="4" t="s">
        <v>117</v>
      </c>
      <c r="AD125" s="4" t="s">
        <v>118</v>
      </c>
      <c r="AE125" s="4" t="s">
        <v>857</v>
      </c>
      <c r="AF125" s="4" t="s">
        <v>858</v>
      </c>
      <c r="AG125" s="4" t="s">
        <v>859</v>
      </c>
      <c r="AI125" s="4" t="s">
        <v>312</v>
      </c>
      <c r="AJ125" s="2" t="s">
        <v>879</v>
      </c>
      <c r="AK125" s="4" t="s">
        <v>909</v>
      </c>
      <c r="AL125" s="2"/>
      <c r="AM125" s="4" t="s">
        <v>126</v>
      </c>
      <c r="AN125" s="4" t="s">
        <v>898</v>
      </c>
      <c r="AO125" s="4" t="s">
        <v>910</v>
      </c>
      <c r="AP125" s="4" t="str">
        <f t="array" ref="AP125">XLOOKUP(TRUE, CHOOSECOLS(A125:V125, 1, 4, 7, 10, 13, 16, 19, 22)&lt;&gt;"", CHOOSECOLS(A125:V125, 1, 4, 7, 10, 13, 16, 19, 22), "", 0, -1)</f>
        <v>Abnormal Hbs</v>
      </c>
      <c r="AQ125" s="2"/>
      <c r="AR125" s="2" t="s">
        <v>518</v>
      </c>
      <c r="AS125" s="4" t="s">
        <v>543</v>
      </c>
      <c r="AT125" s="4" t="s">
        <v>900</v>
      </c>
      <c r="AU125" s="4" t="s">
        <v>901</v>
      </c>
      <c r="AV125" s="4" t="s">
        <v>902</v>
      </c>
      <c r="AW125" s="4" t="s">
        <v>903</v>
      </c>
      <c r="BF125" s="4" t="s">
        <v>904</v>
      </c>
      <c r="BR125" s="4" t="s">
        <v>136</v>
      </c>
      <c r="BS125" s="4" t="s">
        <v>905</v>
      </c>
      <c r="BT125" s="4">
        <v>6.0</v>
      </c>
      <c r="BU125" s="2"/>
      <c r="BV125" s="2"/>
      <c r="BW125" s="2"/>
      <c r="BX125" s="2"/>
      <c r="BY125" s="2"/>
      <c r="BZ125" s="2"/>
      <c r="CA125" s="2"/>
      <c r="CB125" s="2"/>
      <c r="CC125" s="2"/>
    </row>
    <row r="126">
      <c r="A126" s="4" t="s">
        <v>105</v>
      </c>
      <c r="B126" s="4" t="s">
        <v>105</v>
      </c>
      <c r="C126" s="4" t="s">
        <v>911</v>
      </c>
      <c r="D126" s="4" t="s">
        <v>816</v>
      </c>
      <c r="E126" s="4" t="s">
        <v>189</v>
      </c>
      <c r="F126" s="4" t="s">
        <v>190</v>
      </c>
      <c r="G126" s="4" t="s">
        <v>912</v>
      </c>
      <c r="H126" s="4" t="s">
        <v>913</v>
      </c>
      <c r="I126" s="4" t="s">
        <v>914</v>
      </c>
      <c r="J126" s="4" t="s">
        <v>915</v>
      </c>
      <c r="K126" s="4" t="s">
        <v>916</v>
      </c>
      <c r="L126" s="4" t="s">
        <v>917</v>
      </c>
      <c r="Z126" s="2" t="s">
        <v>918</v>
      </c>
      <c r="AA126" s="2" t="s">
        <v>509</v>
      </c>
      <c r="AB126" s="2" t="s">
        <v>116</v>
      </c>
      <c r="AC126" s="4" t="s">
        <v>117</v>
      </c>
      <c r="AD126" s="4" t="s">
        <v>118</v>
      </c>
      <c r="AE126" s="4" t="s">
        <v>857</v>
      </c>
      <c r="AF126" s="4" t="s">
        <v>858</v>
      </c>
      <c r="AG126" s="4" t="s">
        <v>859</v>
      </c>
      <c r="AI126" s="4" t="s">
        <v>122</v>
      </c>
      <c r="AJ126" s="2" t="s">
        <v>500</v>
      </c>
      <c r="AK126" s="4" t="s">
        <v>919</v>
      </c>
      <c r="AL126" s="2"/>
      <c r="AM126" s="4" t="s">
        <v>920</v>
      </c>
      <c r="AN126" s="4" t="s">
        <v>921</v>
      </c>
      <c r="AO126" s="4" t="s">
        <v>922</v>
      </c>
      <c r="AP126" s="4" t="str">
        <f t="array" ref="AP126">XLOOKUP(TRUE, CHOOSECOLS(A126:V126, 1, 4, 7, 10, 13, 16, 19, 22)&lt;&gt;"", CHOOSECOLS(A126:V126, 1, 4, 7, 10, 13, 16, 19, 22), "", 0, -1)</f>
        <v>CO₂ forms</v>
      </c>
      <c r="AQ126" s="2"/>
      <c r="AR126" s="2" t="s">
        <v>518</v>
      </c>
      <c r="AS126" s="4" t="s">
        <v>227</v>
      </c>
      <c r="AT126" s="4" t="s">
        <v>421</v>
      </c>
      <c r="AU126" s="4" t="s">
        <v>422</v>
      </c>
      <c r="AV126" s="4" t="s">
        <v>423</v>
      </c>
      <c r="BF126" s="2" t="s">
        <v>923</v>
      </c>
      <c r="BR126" s="4" t="s">
        <v>136</v>
      </c>
      <c r="BS126" s="4" t="s">
        <v>924</v>
      </c>
      <c r="BT126" s="4">
        <v>6.0</v>
      </c>
      <c r="BU126" s="2"/>
      <c r="BV126" s="2"/>
      <c r="BW126" s="2"/>
      <c r="BX126" s="2"/>
      <c r="BY126" s="2"/>
      <c r="BZ126" s="2"/>
      <c r="CA126" s="2"/>
      <c r="CB126" s="2"/>
      <c r="CC126" s="2"/>
    </row>
    <row r="127">
      <c r="A127" s="4" t="s">
        <v>105</v>
      </c>
      <c r="B127" s="4" t="s">
        <v>105</v>
      </c>
      <c r="C127" s="4" t="s">
        <v>911</v>
      </c>
      <c r="D127" s="4" t="s">
        <v>816</v>
      </c>
      <c r="E127" s="4" t="s">
        <v>189</v>
      </c>
      <c r="F127" s="4" t="s">
        <v>190</v>
      </c>
      <c r="G127" s="4" t="s">
        <v>912</v>
      </c>
      <c r="H127" s="4" t="s">
        <v>913</v>
      </c>
      <c r="I127" s="4" t="s">
        <v>914</v>
      </c>
      <c r="J127" s="4" t="s">
        <v>915</v>
      </c>
      <c r="K127" s="4" t="s">
        <v>916</v>
      </c>
      <c r="L127" s="4" t="s">
        <v>917</v>
      </c>
      <c r="Z127" s="42" t="s">
        <v>925</v>
      </c>
      <c r="AA127" s="2" t="s">
        <v>509</v>
      </c>
      <c r="AB127" s="2" t="s">
        <v>116</v>
      </c>
      <c r="AC127" s="4" t="s">
        <v>117</v>
      </c>
      <c r="AD127" s="4" t="s">
        <v>118</v>
      </c>
      <c r="AE127" s="4" t="s">
        <v>857</v>
      </c>
      <c r="AF127" s="4" t="s">
        <v>858</v>
      </c>
      <c r="AG127" s="4" t="s">
        <v>859</v>
      </c>
      <c r="AI127" s="4" t="s">
        <v>122</v>
      </c>
      <c r="AJ127" s="2" t="s">
        <v>500</v>
      </c>
      <c r="AK127" s="4" t="s">
        <v>926</v>
      </c>
      <c r="AL127" s="2"/>
      <c r="AM127" s="4" t="s">
        <v>256</v>
      </c>
      <c r="AN127" s="4" t="s">
        <v>921</v>
      </c>
      <c r="AO127" s="4" t="s">
        <v>927</v>
      </c>
      <c r="AP127" s="4" t="str">
        <f t="array" ref="AP127">XLOOKUP(TRUE, CHOOSECOLS(A127:V127, 1, 4, 7, 10, 13, 16, 19, 22)&lt;&gt;"", CHOOSECOLS(A127:V127, 1, 4, 7, 10, 13, 16, 19, 22), "", 0, -1)</f>
        <v>CO₂ forms</v>
      </c>
      <c r="AQ127" s="2"/>
      <c r="AR127" s="2" t="s">
        <v>518</v>
      </c>
      <c r="AS127" s="4" t="s">
        <v>227</v>
      </c>
      <c r="AT127" s="4" t="s">
        <v>421</v>
      </c>
      <c r="AU127" s="4" t="s">
        <v>422</v>
      </c>
      <c r="AV127" s="4" t="s">
        <v>423</v>
      </c>
      <c r="BF127" s="4" t="s">
        <v>923</v>
      </c>
      <c r="BR127" s="4" t="s">
        <v>136</v>
      </c>
      <c r="BS127" s="4" t="s">
        <v>924</v>
      </c>
      <c r="BT127" s="4">
        <v>6.0</v>
      </c>
      <c r="BU127" s="2"/>
      <c r="BV127" s="2"/>
      <c r="BW127" s="2"/>
      <c r="BX127" s="2"/>
      <c r="BY127" s="2"/>
      <c r="BZ127" s="2"/>
      <c r="CA127" s="2"/>
      <c r="CB127" s="2"/>
      <c r="CC127" s="2"/>
    </row>
    <row r="128">
      <c r="A128" s="4" t="s">
        <v>105</v>
      </c>
      <c r="B128" s="4" t="s">
        <v>105</v>
      </c>
      <c r="C128" s="4" t="s">
        <v>911</v>
      </c>
      <c r="D128" s="4" t="s">
        <v>816</v>
      </c>
      <c r="E128" s="4" t="s">
        <v>189</v>
      </c>
      <c r="F128" s="4" t="s">
        <v>190</v>
      </c>
      <c r="G128" s="4" t="s">
        <v>912</v>
      </c>
      <c r="H128" s="4" t="s">
        <v>913</v>
      </c>
      <c r="I128" s="4" t="s">
        <v>914</v>
      </c>
      <c r="J128" s="4" t="s">
        <v>915</v>
      </c>
      <c r="K128" s="4" t="s">
        <v>916</v>
      </c>
      <c r="L128" s="4" t="s">
        <v>917</v>
      </c>
      <c r="Z128" s="42" t="s">
        <v>928</v>
      </c>
      <c r="AA128" s="2" t="s">
        <v>509</v>
      </c>
      <c r="AB128" s="2" t="s">
        <v>116</v>
      </c>
      <c r="AC128" s="4" t="s">
        <v>117</v>
      </c>
      <c r="AD128" s="4" t="s">
        <v>118</v>
      </c>
      <c r="AE128" s="4" t="s">
        <v>857</v>
      </c>
      <c r="AF128" s="4" t="s">
        <v>858</v>
      </c>
      <c r="AG128" s="4" t="s">
        <v>859</v>
      </c>
      <c r="AI128" s="4" t="s">
        <v>122</v>
      </c>
      <c r="AJ128" s="2" t="s">
        <v>394</v>
      </c>
      <c r="AK128" s="4" t="s">
        <v>929</v>
      </c>
      <c r="AL128" s="2"/>
      <c r="AM128" s="4" t="s">
        <v>920</v>
      </c>
      <c r="AN128" s="4" t="s">
        <v>921</v>
      </c>
      <c r="AO128" s="4" t="s">
        <v>930</v>
      </c>
      <c r="AP128" s="4" t="str">
        <f t="array" ref="AP128">XLOOKUP(TRUE, CHOOSECOLS(A128:V128, 1, 4, 7, 10, 13, 16, 19, 22)&lt;&gt;"", CHOOSECOLS(A128:V128, 1, 4, 7, 10, 13, 16, 19, 22), "", 0, -1)</f>
        <v>CO₂ forms</v>
      </c>
      <c r="AQ128" s="2"/>
      <c r="AR128" s="2" t="s">
        <v>518</v>
      </c>
      <c r="AS128" s="4" t="s">
        <v>227</v>
      </c>
      <c r="AT128" s="4" t="s">
        <v>421</v>
      </c>
      <c r="AU128" s="4" t="s">
        <v>422</v>
      </c>
      <c r="AV128" s="4" t="s">
        <v>423</v>
      </c>
      <c r="BF128" s="4" t="s">
        <v>923</v>
      </c>
      <c r="BR128" s="4" t="s">
        <v>136</v>
      </c>
      <c r="BS128" s="4" t="s">
        <v>924</v>
      </c>
      <c r="BT128" s="4">
        <v>6.0</v>
      </c>
      <c r="BU128" s="2"/>
      <c r="BV128" s="2"/>
      <c r="BW128" s="2"/>
      <c r="BX128" s="2"/>
      <c r="BY128" s="2"/>
      <c r="BZ128" s="2"/>
      <c r="CA128" s="2"/>
      <c r="CB128" s="2"/>
      <c r="CC128" s="2"/>
    </row>
    <row r="129">
      <c r="A129" s="4" t="s">
        <v>105</v>
      </c>
      <c r="B129" s="4" t="s">
        <v>105</v>
      </c>
      <c r="C129" s="4" t="s">
        <v>931</v>
      </c>
      <c r="D129" s="4" t="s">
        <v>816</v>
      </c>
      <c r="E129" s="4" t="s">
        <v>189</v>
      </c>
      <c r="F129" s="4" t="s">
        <v>190</v>
      </c>
      <c r="G129" s="4" t="s">
        <v>912</v>
      </c>
      <c r="H129" s="4" t="s">
        <v>913</v>
      </c>
      <c r="I129" s="4" t="s">
        <v>914</v>
      </c>
      <c r="J129" s="4" t="s">
        <v>932</v>
      </c>
      <c r="K129" s="4" t="s">
        <v>933</v>
      </c>
      <c r="L129" s="4" t="s">
        <v>934</v>
      </c>
      <c r="Z129" s="2" t="s">
        <v>935</v>
      </c>
      <c r="AA129" s="2" t="s">
        <v>509</v>
      </c>
      <c r="AB129" s="2" t="s">
        <v>116</v>
      </c>
      <c r="AC129" s="4" t="s">
        <v>117</v>
      </c>
      <c r="AD129" s="4" t="s">
        <v>118</v>
      </c>
      <c r="AE129" s="4" t="s">
        <v>857</v>
      </c>
      <c r="AF129" s="4" t="s">
        <v>858</v>
      </c>
      <c r="AG129" s="4" t="s">
        <v>859</v>
      </c>
      <c r="AI129" s="4" t="s">
        <v>312</v>
      </c>
      <c r="AJ129" s="2" t="s">
        <v>500</v>
      </c>
      <c r="AK129" s="2" t="s">
        <v>936</v>
      </c>
      <c r="AL129" s="2"/>
      <c r="AM129" s="4" t="s">
        <v>920</v>
      </c>
      <c r="AN129" s="4" t="s">
        <v>937</v>
      </c>
      <c r="AO129" s="4" t="s">
        <v>938</v>
      </c>
      <c r="AP129" s="4" t="str">
        <f t="array" ref="AP129">XLOOKUP(TRUE, CHOOSECOLS(A129:V129, 1, 4, 7, 10, 13, 16, 19, 22)&lt;&gt;"", CHOOSECOLS(A129:V129, 1, 4, 7, 10, 13, 16, 19, 22), "", 0, -1)</f>
        <v>Haldane effect</v>
      </c>
      <c r="AQ129" s="2"/>
      <c r="AR129" s="2" t="s">
        <v>518</v>
      </c>
      <c r="AS129" s="4" t="s">
        <v>227</v>
      </c>
      <c r="AT129" s="4" t="s">
        <v>421</v>
      </c>
      <c r="AU129" s="4" t="s">
        <v>422</v>
      </c>
      <c r="AV129" s="4" t="s">
        <v>423</v>
      </c>
      <c r="BF129" s="4" t="s">
        <v>939</v>
      </c>
      <c r="BR129" s="4" t="s">
        <v>136</v>
      </c>
      <c r="BS129" s="4" t="s">
        <v>940</v>
      </c>
      <c r="BT129" s="4">
        <v>6.0</v>
      </c>
      <c r="BU129" s="2"/>
      <c r="BV129" s="2"/>
      <c r="BW129" s="2"/>
      <c r="BX129" s="2"/>
      <c r="BY129" s="2"/>
      <c r="BZ129" s="2"/>
      <c r="CA129" s="2"/>
      <c r="CB129" s="2"/>
      <c r="CC129" s="2"/>
    </row>
    <row r="130">
      <c r="A130" s="4" t="s">
        <v>105</v>
      </c>
      <c r="B130" s="4" t="s">
        <v>105</v>
      </c>
      <c r="C130" s="4" t="s">
        <v>931</v>
      </c>
      <c r="D130" s="4" t="s">
        <v>816</v>
      </c>
      <c r="E130" s="4" t="s">
        <v>189</v>
      </c>
      <c r="F130" s="4" t="s">
        <v>190</v>
      </c>
      <c r="G130" s="4" t="s">
        <v>912</v>
      </c>
      <c r="H130" s="4" t="s">
        <v>913</v>
      </c>
      <c r="I130" s="4" t="s">
        <v>914</v>
      </c>
      <c r="J130" s="4" t="s">
        <v>932</v>
      </c>
      <c r="K130" s="4" t="s">
        <v>933</v>
      </c>
      <c r="L130" s="4" t="s">
        <v>934</v>
      </c>
      <c r="Z130" s="2" t="s">
        <v>941</v>
      </c>
      <c r="AA130" s="2" t="s">
        <v>509</v>
      </c>
      <c r="AB130" s="2" t="s">
        <v>116</v>
      </c>
      <c r="AC130" s="4" t="s">
        <v>117</v>
      </c>
      <c r="AD130" s="4" t="s">
        <v>118</v>
      </c>
      <c r="AE130" s="4" t="s">
        <v>857</v>
      </c>
      <c r="AF130" s="4" t="s">
        <v>858</v>
      </c>
      <c r="AG130" s="4" t="s">
        <v>859</v>
      </c>
      <c r="AI130" s="4" t="s">
        <v>312</v>
      </c>
      <c r="AJ130" s="2" t="s">
        <v>841</v>
      </c>
      <c r="AK130" s="2" t="s">
        <v>942</v>
      </c>
      <c r="AL130" s="2"/>
      <c r="AM130" s="4" t="s">
        <v>354</v>
      </c>
      <c r="AN130" s="4" t="s">
        <v>937</v>
      </c>
      <c r="AO130" s="4" t="s">
        <v>943</v>
      </c>
      <c r="AP130" s="4" t="str">
        <f t="array" ref="AP130">XLOOKUP(TRUE, CHOOSECOLS(A130:V130, 1, 4, 7, 10, 13, 16, 19, 22)&lt;&gt;"", CHOOSECOLS(A130:V130, 1, 4, 7, 10, 13, 16, 19, 22), "", 0, -1)</f>
        <v>Haldane effect</v>
      </c>
      <c r="AQ130" s="2"/>
      <c r="AR130" s="2" t="s">
        <v>518</v>
      </c>
      <c r="AS130" s="4" t="s">
        <v>227</v>
      </c>
      <c r="AT130" s="4" t="s">
        <v>421</v>
      </c>
      <c r="AU130" s="4" t="s">
        <v>422</v>
      </c>
      <c r="AV130" s="4" t="s">
        <v>423</v>
      </c>
      <c r="BF130" s="4" t="s">
        <v>939</v>
      </c>
      <c r="BR130" s="4" t="s">
        <v>136</v>
      </c>
      <c r="BS130" s="4" t="s">
        <v>940</v>
      </c>
      <c r="BT130" s="4">
        <v>6.0</v>
      </c>
      <c r="BU130" s="2"/>
      <c r="BV130" s="2"/>
      <c r="BW130" s="2"/>
      <c r="BX130" s="43"/>
      <c r="BY130" s="2"/>
      <c r="BZ130" s="2"/>
      <c r="CA130" s="2"/>
      <c r="CB130" s="2"/>
      <c r="CC130" s="2"/>
    </row>
    <row r="131">
      <c r="A131" s="4" t="s">
        <v>105</v>
      </c>
      <c r="B131" s="4" t="s">
        <v>105</v>
      </c>
      <c r="C131" s="4" t="s">
        <v>931</v>
      </c>
      <c r="D131" s="4" t="s">
        <v>816</v>
      </c>
      <c r="E131" s="4" t="s">
        <v>189</v>
      </c>
      <c r="F131" s="4" t="s">
        <v>190</v>
      </c>
      <c r="G131" s="4" t="s">
        <v>912</v>
      </c>
      <c r="H131" s="4" t="s">
        <v>913</v>
      </c>
      <c r="I131" s="4" t="s">
        <v>914</v>
      </c>
      <c r="J131" s="4" t="s">
        <v>932</v>
      </c>
      <c r="K131" s="4" t="s">
        <v>933</v>
      </c>
      <c r="L131" s="4" t="s">
        <v>934</v>
      </c>
      <c r="Z131" s="2" t="s">
        <v>944</v>
      </c>
      <c r="AA131" s="2" t="s">
        <v>509</v>
      </c>
      <c r="AB131" s="2" t="s">
        <v>116</v>
      </c>
      <c r="AC131" s="4" t="s">
        <v>117</v>
      </c>
      <c r="AD131" s="4" t="s">
        <v>118</v>
      </c>
      <c r="AE131" s="4" t="s">
        <v>857</v>
      </c>
      <c r="AF131" s="4" t="s">
        <v>858</v>
      </c>
      <c r="AG131" s="4" t="s">
        <v>859</v>
      </c>
      <c r="AI131" s="4" t="s">
        <v>312</v>
      </c>
      <c r="AJ131" s="2" t="s">
        <v>945</v>
      </c>
      <c r="AK131" s="2" t="s">
        <v>757</v>
      </c>
      <c r="AL131" s="2"/>
      <c r="AM131" s="4" t="s">
        <v>198</v>
      </c>
      <c r="AN131" s="4" t="s">
        <v>937</v>
      </c>
      <c r="AO131" s="4" t="s">
        <v>946</v>
      </c>
      <c r="AP131" s="4" t="str">
        <f t="array" ref="AP131">XLOOKUP(TRUE, CHOOSECOLS(A131:V131, 1, 4, 7, 10, 13, 16, 19, 22)&lt;&gt;"", CHOOSECOLS(A131:V131, 1, 4, 7, 10, 13, 16, 19, 22), "", 0, -1)</f>
        <v>Haldane effect</v>
      </c>
      <c r="AQ131" s="2"/>
      <c r="AR131" s="2" t="s">
        <v>518</v>
      </c>
      <c r="AS131" s="4" t="s">
        <v>227</v>
      </c>
      <c r="AT131" s="4" t="s">
        <v>421</v>
      </c>
      <c r="AU131" s="4" t="s">
        <v>422</v>
      </c>
      <c r="AV131" s="4" t="s">
        <v>423</v>
      </c>
      <c r="BF131" s="4" t="s">
        <v>939</v>
      </c>
      <c r="BR131" s="4" t="s">
        <v>136</v>
      </c>
      <c r="BS131" s="4" t="s">
        <v>940</v>
      </c>
      <c r="BT131" s="4">
        <v>6.0</v>
      </c>
      <c r="BU131" s="2"/>
      <c r="BV131" s="2"/>
      <c r="BW131" s="2"/>
      <c r="BX131" s="2"/>
      <c r="BY131" s="2"/>
      <c r="BZ131" s="2"/>
      <c r="CA131" s="2"/>
      <c r="CB131" s="2"/>
      <c r="CC131" s="2"/>
    </row>
    <row r="132">
      <c r="A132" s="4" t="s">
        <v>105</v>
      </c>
      <c r="B132" s="4" t="s">
        <v>105</v>
      </c>
      <c r="C132" s="4" t="s">
        <v>947</v>
      </c>
      <c r="D132" s="4" t="s">
        <v>816</v>
      </c>
      <c r="E132" s="4" t="s">
        <v>189</v>
      </c>
      <c r="F132" s="4" t="s">
        <v>190</v>
      </c>
      <c r="G132" s="4" t="s">
        <v>912</v>
      </c>
      <c r="H132" s="4" t="s">
        <v>913</v>
      </c>
      <c r="I132" s="4" t="s">
        <v>914</v>
      </c>
      <c r="J132" s="4" t="s">
        <v>948</v>
      </c>
      <c r="K132" s="4" t="s">
        <v>949</v>
      </c>
      <c r="L132" s="4" t="s">
        <v>950</v>
      </c>
      <c r="Z132" s="2" t="s">
        <v>951</v>
      </c>
      <c r="AA132" s="2" t="s">
        <v>115</v>
      </c>
      <c r="AB132" s="2" t="s">
        <v>116</v>
      </c>
      <c r="AC132" s="4" t="s">
        <v>117</v>
      </c>
      <c r="AD132" s="4" t="s">
        <v>118</v>
      </c>
      <c r="AE132" s="4" t="s">
        <v>243</v>
      </c>
      <c r="AF132" s="4" t="s">
        <v>120</v>
      </c>
      <c r="AG132" s="4" t="s">
        <v>121</v>
      </c>
      <c r="AI132" s="4" t="s">
        <v>122</v>
      </c>
      <c r="AJ132" s="2" t="s">
        <v>371</v>
      </c>
      <c r="AK132" s="4" t="s">
        <v>948</v>
      </c>
      <c r="AL132" s="2"/>
      <c r="AN132" s="4" t="s">
        <v>952</v>
      </c>
      <c r="AO132" s="4" t="s">
        <v>953</v>
      </c>
      <c r="AP132" s="4" t="str">
        <f t="array" ref="AP132">XLOOKUP(TRUE, CHOOSECOLS(A132:V132, 1, 4, 7, 10, 13, 16, 19, 22)&lt;&gt;"", CHOOSECOLS(A132:V132, 1, 4, 7, 10, 13, 16, 19, 22), "", 0, -1)</f>
        <v>CO₂ dissociation curve</v>
      </c>
      <c r="AQ132" s="2"/>
      <c r="AR132" s="2" t="s">
        <v>129</v>
      </c>
      <c r="AS132" s="4" t="s">
        <v>227</v>
      </c>
      <c r="AT132" s="4" t="s">
        <v>421</v>
      </c>
      <c r="AU132" s="4" t="s">
        <v>422</v>
      </c>
      <c r="AV132" s="4" t="s">
        <v>423</v>
      </c>
      <c r="BF132" s="2" t="s">
        <v>954</v>
      </c>
      <c r="BR132" s="4" t="s">
        <v>136</v>
      </c>
      <c r="BS132" s="4" t="s">
        <v>955</v>
      </c>
      <c r="BT132" s="4">
        <v>6.0</v>
      </c>
      <c r="BU132" s="2"/>
      <c r="BV132" s="2"/>
      <c r="BW132" s="2"/>
      <c r="BX132" s="2"/>
      <c r="BY132" s="2"/>
      <c r="BZ132" s="2"/>
      <c r="CA132" s="2"/>
      <c r="CB132" s="2"/>
      <c r="CC132" s="2"/>
    </row>
    <row r="133">
      <c r="A133" s="4" t="s">
        <v>105</v>
      </c>
      <c r="B133" s="4" t="s">
        <v>105</v>
      </c>
      <c r="C133" s="4" t="s">
        <v>947</v>
      </c>
      <c r="D133" s="4" t="s">
        <v>816</v>
      </c>
      <c r="E133" s="4" t="s">
        <v>189</v>
      </c>
      <c r="F133" s="4" t="s">
        <v>190</v>
      </c>
      <c r="G133" s="4" t="s">
        <v>912</v>
      </c>
      <c r="H133" s="4" t="s">
        <v>913</v>
      </c>
      <c r="I133" s="4" t="s">
        <v>914</v>
      </c>
      <c r="J133" s="4" t="s">
        <v>948</v>
      </c>
      <c r="K133" s="4" t="s">
        <v>949</v>
      </c>
      <c r="L133" s="4" t="s">
        <v>950</v>
      </c>
      <c r="Z133" s="2" t="s">
        <v>956</v>
      </c>
      <c r="AA133" s="2" t="s">
        <v>115</v>
      </c>
      <c r="AB133" s="2" t="s">
        <v>116</v>
      </c>
      <c r="AC133" s="4" t="s">
        <v>117</v>
      </c>
      <c r="AD133" s="4" t="s">
        <v>118</v>
      </c>
      <c r="AE133" s="4" t="s">
        <v>243</v>
      </c>
      <c r="AF133" s="4" t="s">
        <v>120</v>
      </c>
      <c r="AG133" s="4" t="s">
        <v>121</v>
      </c>
      <c r="AI133" s="4" t="s">
        <v>357</v>
      </c>
      <c r="AJ133" s="2" t="s">
        <v>879</v>
      </c>
      <c r="AK133" s="4" t="s">
        <v>957</v>
      </c>
      <c r="AL133" s="2"/>
      <c r="AN133" s="4" t="s">
        <v>952</v>
      </c>
      <c r="AO133" s="4" t="s">
        <v>958</v>
      </c>
      <c r="AP133" s="4" t="str">
        <f t="array" ref="AP133">XLOOKUP(TRUE, CHOOSECOLS(A133:V133, 1, 4, 7, 10, 13, 16, 19, 22)&lt;&gt;"", CHOOSECOLS(A133:V133, 1, 4, 7, 10, 13, 16, 19, 22), "", 0, -1)</f>
        <v>CO₂ dissociation curve</v>
      </c>
      <c r="AQ133" s="2"/>
      <c r="AR133" s="2" t="s">
        <v>129</v>
      </c>
      <c r="AS133" s="4" t="s">
        <v>227</v>
      </c>
      <c r="AT133" s="4" t="s">
        <v>421</v>
      </c>
      <c r="AU133" s="4" t="s">
        <v>422</v>
      </c>
      <c r="AV133" s="4" t="s">
        <v>423</v>
      </c>
      <c r="BF133" s="2" t="s">
        <v>954</v>
      </c>
      <c r="BR133" s="4" t="s">
        <v>136</v>
      </c>
      <c r="BS133" s="4" t="s">
        <v>955</v>
      </c>
      <c r="BT133" s="4">
        <v>6.0</v>
      </c>
      <c r="BU133" s="2"/>
      <c r="BV133" s="2"/>
      <c r="BW133" s="2"/>
      <c r="BX133" s="2"/>
      <c r="BY133" s="2"/>
      <c r="BZ133" s="2"/>
      <c r="CA133" s="2"/>
      <c r="CB133" s="2"/>
      <c r="CC133" s="2"/>
    </row>
    <row r="134">
      <c r="A134" s="4" t="s">
        <v>105</v>
      </c>
      <c r="B134" s="4" t="s">
        <v>105</v>
      </c>
      <c r="C134" s="4" t="s">
        <v>947</v>
      </c>
      <c r="D134" s="4" t="s">
        <v>816</v>
      </c>
      <c r="E134" s="4" t="s">
        <v>189</v>
      </c>
      <c r="F134" s="4" t="s">
        <v>190</v>
      </c>
      <c r="G134" s="4" t="s">
        <v>912</v>
      </c>
      <c r="H134" s="4" t="s">
        <v>913</v>
      </c>
      <c r="I134" s="4" t="s">
        <v>914</v>
      </c>
      <c r="J134" s="4" t="s">
        <v>948</v>
      </c>
      <c r="K134" s="4" t="s">
        <v>949</v>
      </c>
      <c r="L134" s="4" t="s">
        <v>950</v>
      </c>
      <c r="Z134" s="2" t="s">
        <v>959</v>
      </c>
      <c r="AA134" s="2" t="s">
        <v>115</v>
      </c>
      <c r="AB134" s="2" t="s">
        <v>116</v>
      </c>
      <c r="AC134" s="4" t="s">
        <v>117</v>
      </c>
      <c r="AD134" s="4" t="s">
        <v>118</v>
      </c>
      <c r="AE134" s="4" t="s">
        <v>243</v>
      </c>
      <c r="AF134" s="4" t="s">
        <v>120</v>
      </c>
      <c r="AG134" s="4" t="s">
        <v>121</v>
      </c>
      <c r="AI134" s="4" t="s">
        <v>357</v>
      </c>
      <c r="AJ134" s="2" t="s">
        <v>960</v>
      </c>
      <c r="AK134" s="4" t="s">
        <v>961</v>
      </c>
      <c r="AL134" s="2"/>
      <c r="AM134" s="4" t="s">
        <v>126</v>
      </c>
      <c r="AN134" s="4" t="s">
        <v>952</v>
      </c>
      <c r="AO134" s="4" t="s">
        <v>962</v>
      </c>
      <c r="AP134" s="4" t="str">
        <f t="array" ref="AP134">XLOOKUP(TRUE, CHOOSECOLS(A134:V134, 1, 4, 7, 10, 13, 16, 19, 22)&lt;&gt;"", CHOOSECOLS(A134:V134, 1, 4, 7, 10, 13, 16, 19, 22), "", 0, -1)</f>
        <v>CO₂ dissociation curve</v>
      </c>
      <c r="AQ134" s="2"/>
      <c r="AR134" s="2" t="s">
        <v>129</v>
      </c>
      <c r="AS134" s="4" t="s">
        <v>227</v>
      </c>
      <c r="AT134" s="4" t="s">
        <v>421</v>
      </c>
      <c r="AU134" s="4" t="s">
        <v>422</v>
      </c>
      <c r="AV134" s="4" t="s">
        <v>423</v>
      </c>
      <c r="BF134" s="2" t="s">
        <v>954</v>
      </c>
      <c r="BR134" s="4" t="s">
        <v>136</v>
      </c>
      <c r="BS134" s="4" t="s">
        <v>955</v>
      </c>
      <c r="BT134" s="4">
        <v>6.0</v>
      </c>
      <c r="BU134" s="2"/>
      <c r="BV134" s="2"/>
      <c r="BW134" s="2"/>
      <c r="BX134" s="2"/>
      <c r="BY134" s="2"/>
      <c r="BZ134" s="2"/>
      <c r="CA134" s="2"/>
      <c r="CB134" s="2"/>
      <c r="CC134" s="2"/>
    </row>
    <row r="135">
      <c r="A135" s="4" t="s">
        <v>105</v>
      </c>
      <c r="B135" s="4" t="s">
        <v>105</v>
      </c>
      <c r="C135" s="4" t="s">
        <v>963</v>
      </c>
      <c r="D135" s="4" t="s">
        <v>816</v>
      </c>
      <c r="E135" s="4" t="s">
        <v>189</v>
      </c>
      <c r="F135" s="4" t="s">
        <v>190</v>
      </c>
      <c r="G135" s="4" t="s">
        <v>912</v>
      </c>
      <c r="H135" s="4" t="s">
        <v>913</v>
      </c>
      <c r="I135" s="4" t="s">
        <v>914</v>
      </c>
      <c r="J135" s="4" t="s">
        <v>964</v>
      </c>
      <c r="Z135" s="2" t="s">
        <v>965</v>
      </c>
      <c r="AA135" s="2" t="s">
        <v>261</v>
      </c>
      <c r="AB135" s="2" t="s">
        <v>116</v>
      </c>
      <c r="AC135" s="4" t="s">
        <v>117</v>
      </c>
      <c r="AD135" s="4" t="s">
        <v>118</v>
      </c>
      <c r="AE135" s="2" t="s">
        <v>966</v>
      </c>
      <c r="AF135" s="4" t="s">
        <v>117</v>
      </c>
      <c r="AG135" s="4" t="s">
        <v>118</v>
      </c>
      <c r="AI135" s="4" t="s">
        <v>122</v>
      </c>
      <c r="AJ135" s="2" t="s">
        <v>140</v>
      </c>
      <c r="AK135" s="4" t="s">
        <v>967</v>
      </c>
      <c r="AL135" s="4" t="s">
        <v>968</v>
      </c>
      <c r="AN135" s="4" t="s">
        <v>969</v>
      </c>
      <c r="AO135" s="4" t="s">
        <v>970</v>
      </c>
      <c r="AP135" s="4" t="str">
        <f t="array" ref="AP135">XLOOKUP(TRUE, CHOOSECOLS(A135:V135, 1, 4, 7, 10, 13, 16, 19, 22)&lt;&gt;"", CHOOSECOLS(A135:V135, 1, 4, 7, 10, 13, 16, 19, 22), "", 0, -1)</f>
        <v>Acid–base (H–H equation)</v>
      </c>
      <c r="AQ135" s="2"/>
      <c r="AR135" s="2" t="s">
        <v>270</v>
      </c>
      <c r="AS135" s="4" t="s">
        <v>971</v>
      </c>
      <c r="AT135" s="4" t="s">
        <v>421</v>
      </c>
      <c r="AU135" s="4" t="s">
        <v>422</v>
      </c>
      <c r="AV135" s="4" t="s">
        <v>423</v>
      </c>
      <c r="AW135" s="4" t="s">
        <v>972</v>
      </c>
      <c r="AX135" s="4" t="s">
        <v>973</v>
      </c>
      <c r="AY135" s="4" t="s">
        <v>974</v>
      </c>
      <c r="BF135" s="4" t="s">
        <v>975</v>
      </c>
      <c r="BR135" s="4" t="s">
        <v>136</v>
      </c>
      <c r="BS135" s="4" t="s">
        <v>976</v>
      </c>
      <c r="BT135" s="4">
        <v>6.0</v>
      </c>
      <c r="BU135" s="2"/>
      <c r="BV135" s="2"/>
      <c r="BW135" s="2"/>
      <c r="BX135" s="2"/>
      <c r="BY135" s="2"/>
      <c r="BZ135" s="2"/>
      <c r="CA135" s="2"/>
      <c r="CB135" s="2"/>
      <c r="CC135" s="2"/>
    </row>
    <row r="136">
      <c r="A136" s="4" t="s">
        <v>105</v>
      </c>
      <c r="B136" s="4" t="s">
        <v>105</v>
      </c>
      <c r="C136" s="4" t="s">
        <v>963</v>
      </c>
      <c r="D136" s="4" t="s">
        <v>816</v>
      </c>
      <c r="E136" s="4" t="s">
        <v>189</v>
      </c>
      <c r="F136" s="4" t="s">
        <v>190</v>
      </c>
      <c r="G136" s="4" t="s">
        <v>912</v>
      </c>
      <c r="H136" s="4" t="s">
        <v>913</v>
      </c>
      <c r="I136" s="4" t="s">
        <v>914</v>
      </c>
      <c r="J136" s="4" t="s">
        <v>964</v>
      </c>
      <c r="Z136" s="2" t="s">
        <v>977</v>
      </c>
      <c r="AA136" s="2" t="s">
        <v>261</v>
      </c>
      <c r="AB136" s="2" t="s">
        <v>116</v>
      </c>
      <c r="AC136" s="4" t="s">
        <v>117</v>
      </c>
      <c r="AD136" s="4" t="s">
        <v>118</v>
      </c>
      <c r="AE136" s="2" t="s">
        <v>966</v>
      </c>
      <c r="AF136" s="4" t="s">
        <v>117</v>
      </c>
      <c r="AG136" s="4" t="s">
        <v>118</v>
      </c>
      <c r="AI136" s="4" t="s">
        <v>122</v>
      </c>
      <c r="AJ136" s="2" t="s">
        <v>430</v>
      </c>
      <c r="AK136" s="4" t="s">
        <v>978</v>
      </c>
      <c r="AL136" s="2"/>
      <c r="AN136" s="4" t="s">
        <v>969</v>
      </c>
      <c r="AO136" s="4" t="s">
        <v>979</v>
      </c>
      <c r="AP136" s="4" t="str">
        <f t="array" ref="AP136">XLOOKUP(TRUE, CHOOSECOLS(A136:V136, 1, 4, 7, 10, 13, 16, 19, 22)&lt;&gt;"", CHOOSECOLS(A136:V136, 1, 4, 7, 10, 13, 16, 19, 22), "", 0, -1)</f>
        <v>Acid–base (H–H equation)</v>
      </c>
      <c r="AQ136" s="2"/>
      <c r="AR136" s="2" t="s">
        <v>270</v>
      </c>
      <c r="AS136" s="4" t="s">
        <v>971</v>
      </c>
      <c r="AT136" s="4" t="s">
        <v>421</v>
      </c>
      <c r="AU136" s="4" t="s">
        <v>422</v>
      </c>
      <c r="AV136" s="4" t="s">
        <v>423</v>
      </c>
      <c r="AW136" s="4" t="s">
        <v>972</v>
      </c>
      <c r="AX136" s="4" t="s">
        <v>973</v>
      </c>
      <c r="AY136" s="4" t="s">
        <v>974</v>
      </c>
      <c r="BF136" s="4" t="s">
        <v>975</v>
      </c>
      <c r="BR136" s="4" t="s">
        <v>136</v>
      </c>
      <c r="BS136" s="4" t="s">
        <v>976</v>
      </c>
      <c r="BT136" s="4">
        <v>6.0</v>
      </c>
      <c r="BU136" s="2"/>
      <c r="BV136" s="2"/>
      <c r="BW136" s="2"/>
      <c r="BX136" s="2"/>
      <c r="BY136" s="2"/>
      <c r="BZ136" s="2"/>
      <c r="CA136" s="2"/>
      <c r="CB136" s="2"/>
      <c r="CC136" s="2"/>
    </row>
    <row r="137">
      <c r="A137" s="4" t="s">
        <v>105</v>
      </c>
      <c r="B137" s="4" t="s">
        <v>105</v>
      </c>
      <c r="C137" s="4" t="s">
        <v>963</v>
      </c>
      <c r="D137" s="4" t="s">
        <v>816</v>
      </c>
      <c r="E137" s="4" t="s">
        <v>189</v>
      </c>
      <c r="F137" s="4" t="s">
        <v>190</v>
      </c>
      <c r="G137" s="4" t="s">
        <v>912</v>
      </c>
      <c r="H137" s="4" t="s">
        <v>913</v>
      </c>
      <c r="I137" s="4" t="s">
        <v>914</v>
      </c>
      <c r="J137" s="4" t="s">
        <v>964</v>
      </c>
      <c r="Z137" s="2" t="s">
        <v>980</v>
      </c>
      <c r="AA137" s="2" t="s">
        <v>261</v>
      </c>
      <c r="AB137" s="2" t="s">
        <v>116</v>
      </c>
      <c r="AC137" s="4" t="s">
        <v>117</v>
      </c>
      <c r="AD137" s="4" t="s">
        <v>118</v>
      </c>
      <c r="AE137" s="2" t="s">
        <v>966</v>
      </c>
      <c r="AF137" s="4" t="s">
        <v>117</v>
      </c>
      <c r="AG137" s="4" t="s">
        <v>118</v>
      </c>
      <c r="AI137" s="4" t="s">
        <v>122</v>
      </c>
      <c r="AJ137" s="2" t="s">
        <v>981</v>
      </c>
      <c r="AK137" s="4" t="s">
        <v>982</v>
      </c>
      <c r="AL137" s="2"/>
      <c r="AN137" s="4" t="s">
        <v>969</v>
      </c>
      <c r="AO137" s="4" t="s">
        <v>983</v>
      </c>
      <c r="AP137" s="4" t="str">
        <f t="array" ref="AP137">XLOOKUP(TRUE, CHOOSECOLS(A137:V137, 1, 4, 7, 10, 13, 16, 19, 22)&lt;&gt;"", CHOOSECOLS(A137:V137, 1, 4, 7, 10, 13, 16, 19, 22), "", 0, -1)</f>
        <v>Acid–base (H–H equation)</v>
      </c>
      <c r="AQ137" s="2"/>
      <c r="AR137" s="2" t="s">
        <v>270</v>
      </c>
      <c r="AS137" s="4" t="s">
        <v>971</v>
      </c>
      <c r="AT137" s="4" t="s">
        <v>421</v>
      </c>
      <c r="AU137" s="4" t="s">
        <v>422</v>
      </c>
      <c r="AV137" s="4" t="s">
        <v>423</v>
      </c>
      <c r="AW137" s="4" t="s">
        <v>972</v>
      </c>
      <c r="AX137" s="4" t="s">
        <v>973</v>
      </c>
      <c r="AY137" s="4" t="s">
        <v>974</v>
      </c>
      <c r="BF137" s="4" t="s">
        <v>975</v>
      </c>
      <c r="BR137" s="4" t="s">
        <v>136</v>
      </c>
      <c r="BS137" s="4" t="s">
        <v>976</v>
      </c>
      <c r="BT137" s="4">
        <v>6.0</v>
      </c>
      <c r="BU137" s="2"/>
      <c r="BV137" s="2"/>
      <c r="BW137" s="2"/>
      <c r="BX137" s="2"/>
      <c r="BY137" s="2"/>
      <c r="BZ137" s="2"/>
      <c r="CA137" s="2"/>
      <c r="CB137" s="2"/>
      <c r="CC137" s="2"/>
    </row>
    <row r="138">
      <c r="A138" s="4" t="s">
        <v>105</v>
      </c>
      <c r="B138" s="4" t="s">
        <v>105</v>
      </c>
      <c r="C138" s="4" t="s">
        <v>984</v>
      </c>
      <c r="D138" s="4" t="s">
        <v>816</v>
      </c>
      <c r="E138" s="4" t="s">
        <v>189</v>
      </c>
      <c r="F138" s="4" t="s">
        <v>190</v>
      </c>
      <c r="G138" s="4" t="s">
        <v>912</v>
      </c>
      <c r="H138" s="4" t="s">
        <v>913</v>
      </c>
      <c r="I138" s="4" t="s">
        <v>914</v>
      </c>
      <c r="J138" s="4" t="s">
        <v>985</v>
      </c>
      <c r="Z138" s="2" t="s">
        <v>986</v>
      </c>
      <c r="AA138" s="2" t="s">
        <v>261</v>
      </c>
      <c r="AB138" s="2" t="s">
        <v>116</v>
      </c>
      <c r="AC138" s="4" t="s">
        <v>117</v>
      </c>
      <c r="AD138" s="4" t="s">
        <v>118</v>
      </c>
      <c r="AE138" s="2" t="s">
        <v>966</v>
      </c>
      <c r="AF138" s="4" t="s">
        <v>117</v>
      </c>
      <c r="AG138" s="4" t="s">
        <v>118</v>
      </c>
      <c r="AI138" s="4" t="s">
        <v>122</v>
      </c>
      <c r="AJ138" s="2" t="s">
        <v>371</v>
      </c>
      <c r="AK138" s="4" t="s">
        <v>987</v>
      </c>
      <c r="AL138" s="2"/>
      <c r="AN138" s="4" t="s">
        <v>988</v>
      </c>
      <c r="AO138" s="4" t="s">
        <v>989</v>
      </c>
      <c r="AP138" s="4" t="str">
        <f t="array" ref="AP138">XLOOKUP(TRUE, CHOOSECOLS(A138:V138, 1, 4, 7, 10, 13, 16, 19, 22)&lt;&gt;"", CHOOSECOLS(A138:V138, 1, 4, 7, 10, 13, 16, 19, 22), "", 0, -1)</f>
        <v>Davenport diagram</v>
      </c>
      <c r="AQ138" s="2"/>
      <c r="AR138" s="2" t="s">
        <v>270</v>
      </c>
      <c r="AS138" s="4" t="s">
        <v>971</v>
      </c>
      <c r="AT138" s="4" t="s">
        <v>972</v>
      </c>
      <c r="AU138" s="4" t="s">
        <v>973</v>
      </c>
      <c r="AV138" s="4" t="s">
        <v>974</v>
      </c>
      <c r="AW138" s="4" t="s">
        <v>990</v>
      </c>
      <c r="BF138" s="4" t="s">
        <v>991</v>
      </c>
      <c r="BR138" s="4" t="s">
        <v>136</v>
      </c>
      <c r="BS138" s="4" t="s">
        <v>992</v>
      </c>
      <c r="BT138" s="4">
        <v>6.0</v>
      </c>
      <c r="BU138" s="2"/>
      <c r="BV138" s="2"/>
      <c r="BW138" s="2"/>
      <c r="BX138" s="2"/>
      <c r="BY138" s="2"/>
      <c r="BZ138" s="2"/>
      <c r="CA138" s="2"/>
      <c r="CB138" s="2"/>
      <c r="CC138" s="2"/>
    </row>
    <row r="139">
      <c r="A139" s="4" t="s">
        <v>105</v>
      </c>
      <c r="B139" s="4" t="s">
        <v>105</v>
      </c>
      <c r="C139" s="4" t="s">
        <v>984</v>
      </c>
      <c r="D139" s="4" t="s">
        <v>816</v>
      </c>
      <c r="E139" s="4" t="s">
        <v>189</v>
      </c>
      <c r="F139" s="4" t="s">
        <v>190</v>
      </c>
      <c r="G139" s="4" t="s">
        <v>912</v>
      </c>
      <c r="H139" s="4" t="s">
        <v>913</v>
      </c>
      <c r="I139" s="4" t="s">
        <v>914</v>
      </c>
      <c r="J139" s="4" t="s">
        <v>985</v>
      </c>
      <c r="Z139" s="2" t="s">
        <v>993</v>
      </c>
      <c r="AA139" s="2" t="s">
        <v>261</v>
      </c>
      <c r="AB139" s="2" t="s">
        <v>116</v>
      </c>
      <c r="AC139" s="4" t="s">
        <v>117</v>
      </c>
      <c r="AD139" s="4" t="s">
        <v>118</v>
      </c>
      <c r="AE139" s="2" t="s">
        <v>966</v>
      </c>
      <c r="AF139" s="4" t="s">
        <v>117</v>
      </c>
      <c r="AG139" s="4" t="s">
        <v>118</v>
      </c>
      <c r="AI139" s="4" t="s">
        <v>122</v>
      </c>
      <c r="AJ139" s="2" t="s">
        <v>891</v>
      </c>
      <c r="AK139" s="4" t="s">
        <v>994</v>
      </c>
      <c r="AL139" s="2"/>
      <c r="AN139" s="4" t="s">
        <v>988</v>
      </c>
      <c r="AO139" s="4" t="s">
        <v>995</v>
      </c>
      <c r="AP139" s="4" t="str">
        <f t="array" ref="AP139">XLOOKUP(TRUE, CHOOSECOLS(A139:V139, 1, 4, 7, 10, 13, 16, 19, 22)&lt;&gt;"", CHOOSECOLS(A139:V139, 1, 4, 7, 10, 13, 16, 19, 22), "", 0, -1)</f>
        <v>Davenport diagram</v>
      </c>
      <c r="AQ139" s="2"/>
      <c r="AR139" s="2" t="s">
        <v>270</v>
      </c>
      <c r="AS139" s="4" t="s">
        <v>971</v>
      </c>
      <c r="AT139" s="4" t="s">
        <v>972</v>
      </c>
      <c r="AU139" s="4" t="s">
        <v>973</v>
      </c>
      <c r="AV139" s="4" t="s">
        <v>974</v>
      </c>
      <c r="AW139" s="4" t="s">
        <v>990</v>
      </c>
      <c r="BF139" s="4" t="s">
        <v>991</v>
      </c>
      <c r="BR139" s="4" t="s">
        <v>136</v>
      </c>
      <c r="BS139" s="4" t="s">
        <v>992</v>
      </c>
      <c r="BT139" s="4">
        <v>6.0</v>
      </c>
      <c r="BU139" s="2"/>
      <c r="BV139" s="2"/>
      <c r="BW139" s="2"/>
      <c r="BX139" s="2"/>
      <c r="BY139" s="2"/>
      <c r="BZ139" s="2"/>
      <c r="CA139" s="2"/>
      <c r="CB139" s="2"/>
      <c r="CC139" s="2"/>
    </row>
    <row r="140">
      <c r="A140" s="4" t="s">
        <v>105</v>
      </c>
      <c r="B140" s="4" t="s">
        <v>105</v>
      </c>
      <c r="C140" s="4" t="s">
        <v>984</v>
      </c>
      <c r="D140" s="4" t="s">
        <v>816</v>
      </c>
      <c r="E140" s="4" t="s">
        <v>189</v>
      </c>
      <c r="F140" s="4" t="s">
        <v>190</v>
      </c>
      <c r="G140" s="4" t="s">
        <v>912</v>
      </c>
      <c r="H140" s="4" t="s">
        <v>913</v>
      </c>
      <c r="I140" s="4" t="s">
        <v>914</v>
      </c>
      <c r="J140" s="4" t="s">
        <v>985</v>
      </c>
      <c r="Z140" s="2" t="s">
        <v>996</v>
      </c>
      <c r="AA140" s="2" t="s">
        <v>261</v>
      </c>
      <c r="AB140" s="2" t="s">
        <v>116</v>
      </c>
      <c r="AC140" s="4" t="s">
        <v>117</v>
      </c>
      <c r="AD140" s="4" t="s">
        <v>118</v>
      </c>
      <c r="AE140" s="2" t="s">
        <v>966</v>
      </c>
      <c r="AF140" s="4" t="s">
        <v>117</v>
      </c>
      <c r="AG140" s="4" t="s">
        <v>118</v>
      </c>
      <c r="AI140" s="4" t="s">
        <v>122</v>
      </c>
      <c r="AJ140" s="2" t="s">
        <v>140</v>
      </c>
      <c r="AK140" s="2" t="s">
        <v>997</v>
      </c>
      <c r="AL140" s="4" t="s">
        <v>998</v>
      </c>
      <c r="AM140" s="4" t="s">
        <v>920</v>
      </c>
      <c r="AN140" s="4" t="s">
        <v>988</v>
      </c>
      <c r="AO140" s="4" t="s">
        <v>999</v>
      </c>
      <c r="AP140" s="4" t="str">
        <f t="array" ref="AP140">XLOOKUP(TRUE, CHOOSECOLS(A140:V140, 1, 4, 7, 10, 13, 16, 19, 22)&lt;&gt;"", CHOOSECOLS(A140:V140, 1, 4, 7, 10, 13, 16, 19, 22), "", 0, -1)</f>
        <v>Davenport diagram</v>
      </c>
      <c r="AQ140" s="2"/>
      <c r="AR140" s="2" t="s">
        <v>270</v>
      </c>
      <c r="AS140" s="4" t="s">
        <v>971</v>
      </c>
      <c r="AT140" s="4" t="s">
        <v>972</v>
      </c>
      <c r="AU140" s="4" t="s">
        <v>973</v>
      </c>
      <c r="AV140" s="4" t="s">
        <v>974</v>
      </c>
      <c r="AW140" s="4" t="s">
        <v>990</v>
      </c>
      <c r="BF140" s="4" t="s">
        <v>991</v>
      </c>
      <c r="BR140" s="4" t="s">
        <v>136</v>
      </c>
      <c r="BS140" s="4" t="s">
        <v>992</v>
      </c>
      <c r="BT140" s="4">
        <v>6.0</v>
      </c>
      <c r="BU140" s="2"/>
      <c r="BV140" s="2"/>
      <c r="BW140" s="2"/>
      <c r="BX140" s="2"/>
      <c r="BY140" s="2"/>
      <c r="BZ140" s="2"/>
      <c r="CA140" s="2"/>
      <c r="CB140" s="2"/>
      <c r="CC140" s="2"/>
    </row>
    <row r="141" ht="13.5" customHeight="1">
      <c r="A141" s="4" t="s">
        <v>105</v>
      </c>
      <c r="B141" s="4" t="s">
        <v>105</v>
      </c>
      <c r="C141" s="4" t="s">
        <v>1000</v>
      </c>
      <c r="D141" s="4" t="s">
        <v>816</v>
      </c>
      <c r="E141" s="4" t="s">
        <v>189</v>
      </c>
      <c r="F141" s="4" t="s">
        <v>190</v>
      </c>
      <c r="G141" s="4" t="s">
        <v>912</v>
      </c>
      <c r="H141" s="4" t="s">
        <v>913</v>
      </c>
      <c r="I141" s="4" t="s">
        <v>914</v>
      </c>
      <c r="J141" s="44" t="s">
        <v>1001</v>
      </c>
      <c r="K141" s="4" t="s">
        <v>192</v>
      </c>
      <c r="L141" s="4" t="s">
        <v>193</v>
      </c>
      <c r="Z141" s="2" t="s">
        <v>1002</v>
      </c>
      <c r="AA141" s="2" t="s">
        <v>195</v>
      </c>
      <c r="AB141" s="2" t="s">
        <v>116</v>
      </c>
      <c r="AC141" s="4" t="s">
        <v>117</v>
      </c>
      <c r="AD141" s="4" t="s">
        <v>118</v>
      </c>
      <c r="AE141" s="4" t="s">
        <v>1003</v>
      </c>
      <c r="AF141" s="4" t="s">
        <v>221</v>
      </c>
      <c r="AG141" s="4" t="s">
        <v>222</v>
      </c>
      <c r="AI141" s="4" t="s">
        <v>122</v>
      </c>
      <c r="AJ141" s="2" t="s">
        <v>371</v>
      </c>
      <c r="AK141" s="4" t="s">
        <v>1004</v>
      </c>
      <c r="AL141" s="2"/>
      <c r="AM141" s="4" t="s">
        <v>283</v>
      </c>
      <c r="AN141" s="4" t="s">
        <v>1005</v>
      </c>
      <c r="AO141" s="4" t="s">
        <v>1006</v>
      </c>
      <c r="AP141" s="4" t="str">
        <f t="array" ref="AP141">XLOOKUP(TRUE, CHOOSECOLS(A141:V141, 1, 4, 7, 10, 13, 16, 19, 22)&lt;&gt;"", CHOOSECOLS(A141:V141, 1, 4, 7, 10, 13, 16, 19, 22), "", 0, -1)</f>
        <v>Tissue diffusion &amp; PO₂</v>
      </c>
      <c r="AQ141" s="2"/>
      <c r="AR141" s="2" t="s">
        <v>201</v>
      </c>
      <c r="AS141" s="4" t="s">
        <v>130</v>
      </c>
      <c r="AT141" s="4" t="s">
        <v>1007</v>
      </c>
      <c r="AU141" s="4" t="s">
        <v>1008</v>
      </c>
      <c r="AV141" s="4" t="s">
        <v>1009</v>
      </c>
      <c r="AW141" s="4" t="s">
        <v>132</v>
      </c>
      <c r="AX141" s="4" t="s">
        <v>133</v>
      </c>
      <c r="AY141" s="4" t="s">
        <v>134</v>
      </c>
      <c r="BF141" s="4" t="s">
        <v>1010</v>
      </c>
      <c r="BR141" s="4" t="s">
        <v>136</v>
      </c>
      <c r="BS141" s="4" t="s">
        <v>1011</v>
      </c>
      <c r="BT141" s="4">
        <v>6.0</v>
      </c>
      <c r="BU141" s="2"/>
      <c r="BV141" s="2"/>
      <c r="BW141" s="2"/>
      <c r="BX141" s="2"/>
      <c r="BY141" s="2"/>
      <c r="BZ141" s="2"/>
      <c r="CA141" s="2"/>
      <c r="CB141" s="2"/>
      <c r="CC141" s="2"/>
    </row>
    <row r="142">
      <c r="A142" s="4" t="s">
        <v>105</v>
      </c>
      <c r="B142" s="4" t="s">
        <v>105</v>
      </c>
      <c r="C142" s="4" t="s">
        <v>1000</v>
      </c>
      <c r="D142" s="4" t="s">
        <v>816</v>
      </c>
      <c r="E142" s="4" t="s">
        <v>189</v>
      </c>
      <c r="F142" s="4" t="s">
        <v>190</v>
      </c>
      <c r="G142" s="4" t="s">
        <v>912</v>
      </c>
      <c r="H142" s="4" t="s">
        <v>913</v>
      </c>
      <c r="I142" s="4" t="s">
        <v>914</v>
      </c>
      <c r="J142" s="44" t="s">
        <v>1001</v>
      </c>
      <c r="K142" s="4" t="s">
        <v>192</v>
      </c>
      <c r="L142" s="4" t="s">
        <v>193</v>
      </c>
      <c r="Z142" s="2" t="s">
        <v>1012</v>
      </c>
      <c r="AA142" s="2" t="s">
        <v>195</v>
      </c>
      <c r="AB142" s="2" t="s">
        <v>116</v>
      </c>
      <c r="AC142" s="4" t="s">
        <v>117</v>
      </c>
      <c r="AD142" s="4" t="s">
        <v>118</v>
      </c>
      <c r="AE142" s="4" t="s">
        <v>1003</v>
      </c>
      <c r="AF142" s="4" t="s">
        <v>221</v>
      </c>
      <c r="AG142" s="4" t="s">
        <v>222</v>
      </c>
      <c r="AI142" s="4" t="s">
        <v>357</v>
      </c>
      <c r="AJ142" s="2" t="s">
        <v>1013</v>
      </c>
      <c r="AK142" s="4" t="s">
        <v>1014</v>
      </c>
      <c r="AL142" s="2"/>
      <c r="AM142" s="4" t="s">
        <v>283</v>
      </c>
      <c r="AN142" s="4" t="s">
        <v>1005</v>
      </c>
      <c r="AO142" s="4" t="s">
        <v>1015</v>
      </c>
      <c r="AP142" s="4" t="str">
        <f t="array" ref="AP142">XLOOKUP(TRUE, CHOOSECOLS(A142:V142, 1, 4, 7, 10, 13, 16, 19, 22)&lt;&gt;"", CHOOSECOLS(A142:V142, 1, 4, 7, 10, 13, 16, 19, 22), "", 0, -1)</f>
        <v>Tissue diffusion &amp; PO₂</v>
      </c>
      <c r="AQ142" s="2"/>
      <c r="AR142" s="2" t="s">
        <v>201</v>
      </c>
      <c r="AS142" s="4" t="s">
        <v>130</v>
      </c>
      <c r="AT142" s="4" t="s">
        <v>1007</v>
      </c>
      <c r="AU142" s="4" t="s">
        <v>1008</v>
      </c>
      <c r="AV142" s="4" t="s">
        <v>1009</v>
      </c>
      <c r="AW142" s="4" t="s">
        <v>132</v>
      </c>
      <c r="AX142" s="4" t="s">
        <v>133</v>
      </c>
      <c r="AY142" s="4" t="s">
        <v>134</v>
      </c>
      <c r="BF142" s="4" t="s">
        <v>1010</v>
      </c>
      <c r="BR142" s="4" t="s">
        <v>136</v>
      </c>
      <c r="BS142" s="4" t="s">
        <v>1011</v>
      </c>
      <c r="BT142" s="4">
        <v>6.0</v>
      </c>
      <c r="BU142" s="2"/>
      <c r="BV142" s="2"/>
      <c r="BW142" s="2"/>
      <c r="BX142" s="2"/>
      <c r="BY142" s="2"/>
      <c r="BZ142" s="2"/>
      <c r="CA142" s="2"/>
      <c r="CB142" s="2"/>
      <c r="CC142" s="2"/>
    </row>
    <row r="143">
      <c r="A143" s="4" t="s">
        <v>105</v>
      </c>
      <c r="B143" s="4" t="s">
        <v>105</v>
      </c>
      <c r="C143" s="4" t="s">
        <v>1000</v>
      </c>
      <c r="D143" s="4" t="s">
        <v>816</v>
      </c>
      <c r="E143" s="4" t="s">
        <v>189</v>
      </c>
      <c r="F143" s="4" t="s">
        <v>190</v>
      </c>
      <c r="G143" s="4" t="s">
        <v>912</v>
      </c>
      <c r="H143" s="4" t="s">
        <v>913</v>
      </c>
      <c r="I143" s="4" t="s">
        <v>914</v>
      </c>
      <c r="J143" s="44" t="s">
        <v>1001</v>
      </c>
      <c r="K143" s="4" t="s">
        <v>192</v>
      </c>
      <c r="L143" s="4" t="s">
        <v>193</v>
      </c>
      <c r="Z143" s="2" t="s">
        <v>1016</v>
      </c>
      <c r="AA143" s="2" t="s">
        <v>195</v>
      </c>
      <c r="AB143" s="2" t="s">
        <v>116</v>
      </c>
      <c r="AC143" s="4" t="s">
        <v>117</v>
      </c>
      <c r="AD143" s="4" t="s">
        <v>118</v>
      </c>
      <c r="AE143" s="4" t="s">
        <v>1003</v>
      </c>
      <c r="AF143" s="4" t="s">
        <v>221</v>
      </c>
      <c r="AG143" s="4" t="s">
        <v>222</v>
      </c>
      <c r="AI143" s="4" t="s">
        <v>312</v>
      </c>
      <c r="AJ143" s="2" t="s">
        <v>1017</v>
      </c>
      <c r="AK143" s="4" t="s">
        <v>1018</v>
      </c>
      <c r="AL143" s="2"/>
      <c r="AM143" s="4" t="s">
        <v>1019</v>
      </c>
      <c r="AN143" s="4" t="s">
        <v>1005</v>
      </c>
      <c r="AO143" s="4" t="s">
        <v>1020</v>
      </c>
      <c r="AP143" s="4" t="str">
        <f t="array" ref="AP143">XLOOKUP(TRUE, CHOOSECOLS(A143:V143, 1, 4, 7, 10, 13, 16, 19, 22)&lt;&gt;"", CHOOSECOLS(A143:V143, 1, 4, 7, 10, 13, 16, 19, 22), "", 0, -1)</f>
        <v>Tissue diffusion &amp; PO₂</v>
      </c>
      <c r="AQ143" s="2"/>
      <c r="AR143" s="2" t="s">
        <v>201</v>
      </c>
      <c r="AS143" s="4" t="s">
        <v>130</v>
      </c>
      <c r="AT143" s="4" t="s">
        <v>1007</v>
      </c>
      <c r="AU143" s="4" t="s">
        <v>1008</v>
      </c>
      <c r="AV143" s="4" t="s">
        <v>1009</v>
      </c>
      <c r="AW143" s="4" t="s">
        <v>132</v>
      </c>
      <c r="AX143" s="4" t="s">
        <v>133</v>
      </c>
      <c r="AY143" s="4" t="s">
        <v>134</v>
      </c>
      <c r="BF143" s="4" t="s">
        <v>1010</v>
      </c>
      <c r="BR143" s="4" t="s">
        <v>136</v>
      </c>
      <c r="BS143" s="4" t="s">
        <v>1011</v>
      </c>
      <c r="BT143" s="4">
        <v>6.0</v>
      </c>
      <c r="BU143" s="2"/>
      <c r="BV143" s="2"/>
      <c r="BW143" s="2"/>
      <c r="BX143" s="2"/>
      <c r="BY143" s="2"/>
      <c r="BZ143" s="2"/>
      <c r="CA143" s="2"/>
      <c r="CB143" s="2"/>
      <c r="CC143" s="2"/>
    </row>
    <row r="144">
      <c r="A144" s="4" t="s">
        <v>105</v>
      </c>
      <c r="B144" s="4" t="s">
        <v>105</v>
      </c>
      <c r="C144" s="4" t="s">
        <v>1021</v>
      </c>
      <c r="D144" s="4" t="s">
        <v>816</v>
      </c>
      <c r="E144" s="4" t="s">
        <v>189</v>
      </c>
      <c r="F144" s="4" t="s">
        <v>190</v>
      </c>
      <c r="G144" s="4" t="s">
        <v>912</v>
      </c>
      <c r="H144" s="4" t="s">
        <v>913</v>
      </c>
      <c r="I144" s="4" t="s">
        <v>914</v>
      </c>
      <c r="J144" s="4" t="s">
        <v>1022</v>
      </c>
      <c r="K144" s="4" t="s">
        <v>1023</v>
      </c>
      <c r="L144" s="4" t="s">
        <v>1024</v>
      </c>
      <c r="Z144" s="2" t="s">
        <v>1025</v>
      </c>
      <c r="AA144" s="2" t="s">
        <v>261</v>
      </c>
      <c r="AB144" s="2" t="s">
        <v>116</v>
      </c>
      <c r="AC144" s="4" t="s">
        <v>117</v>
      </c>
      <c r="AD144" s="4" t="s">
        <v>118</v>
      </c>
      <c r="AE144" s="2" t="s">
        <v>262</v>
      </c>
      <c r="AF144" s="4" t="s">
        <v>117</v>
      </c>
      <c r="AG144" s="4" t="s">
        <v>118</v>
      </c>
      <c r="AI144" s="4" t="s">
        <v>357</v>
      </c>
      <c r="AJ144" s="2" t="s">
        <v>394</v>
      </c>
      <c r="AK144" s="4" t="s">
        <v>1026</v>
      </c>
      <c r="AL144" s="2"/>
      <c r="AM144" s="4" t="s">
        <v>126</v>
      </c>
      <c r="AN144" s="4" t="s">
        <v>1027</v>
      </c>
      <c r="AO144" s="4" t="s">
        <v>1028</v>
      </c>
      <c r="AP144" s="4" t="str">
        <f t="array" ref="AP144">XLOOKUP(TRUE, CHOOSECOLS(A144:V144, 1, 4, 7, 10, 13, 16, 19, 22)&lt;&gt;"", CHOOSECOLS(A144:V144, 1, 4, 7, 10, 13, 16, 19, 22), "", 0, -1)</f>
        <v>Types of hypoxia</v>
      </c>
      <c r="AQ144" s="2"/>
      <c r="AR144" s="2" t="s">
        <v>270</v>
      </c>
      <c r="AS144" s="4" t="s">
        <v>543</v>
      </c>
      <c r="AT144" s="4" t="s">
        <v>271</v>
      </c>
      <c r="AW144" s="4" t="s">
        <v>479</v>
      </c>
      <c r="BF144" s="4" t="s">
        <v>1029</v>
      </c>
      <c r="BR144" s="4" t="s">
        <v>136</v>
      </c>
      <c r="BS144" s="4" t="s">
        <v>1030</v>
      </c>
      <c r="BT144" s="4">
        <v>6.0</v>
      </c>
      <c r="BU144" s="2"/>
      <c r="BV144" s="2"/>
      <c r="BW144" s="2"/>
      <c r="BX144" s="2"/>
      <c r="BY144" s="2"/>
      <c r="BZ144" s="2"/>
      <c r="CA144" s="2"/>
      <c r="CB144" s="2"/>
      <c r="CC144" s="2"/>
    </row>
    <row r="145">
      <c r="A145" s="4" t="s">
        <v>105</v>
      </c>
      <c r="B145" s="4" t="s">
        <v>105</v>
      </c>
      <c r="C145" s="4" t="s">
        <v>1021</v>
      </c>
      <c r="D145" s="4" t="s">
        <v>816</v>
      </c>
      <c r="E145" s="4" t="s">
        <v>189</v>
      </c>
      <c r="F145" s="4" t="s">
        <v>190</v>
      </c>
      <c r="G145" s="4" t="s">
        <v>912</v>
      </c>
      <c r="H145" s="4" t="s">
        <v>913</v>
      </c>
      <c r="I145" s="4" t="s">
        <v>914</v>
      </c>
      <c r="J145" s="4" t="s">
        <v>1022</v>
      </c>
      <c r="K145" s="4" t="s">
        <v>1023</v>
      </c>
      <c r="L145" s="4" t="s">
        <v>1024</v>
      </c>
      <c r="Z145" s="2" t="s">
        <v>1031</v>
      </c>
      <c r="AA145" s="2" t="s">
        <v>261</v>
      </c>
      <c r="AB145" s="2" t="s">
        <v>116</v>
      </c>
      <c r="AC145" s="4" t="s">
        <v>117</v>
      </c>
      <c r="AD145" s="4" t="s">
        <v>118</v>
      </c>
      <c r="AE145" s="2" t="s">
        <v>262</v>
      </c>
      <c r="AF145" s="4" t="s">
        <v>117</v>
      </c>
      <c r="AG145" s="4" t="s">
        <v>118</v>
      </c>
      <c r="AI145" s="4" t="s">
        <v>357</v>
      </c>
      <c r="AJ145" s="2" t="s">
        <v>1032</v>
      </c>
      <c r="AK145" s="4" t="s">
        <v>851</v>
      </c>
      <c r="AL145" s="2"/>
      <c r="AM145" s="4" t="s">
        <v>824</v>
      </c>
      <c r="AN145" s="4" t="s">
        <v>1027</v>
      </c>
      <c r="AO145" s="4" t="s">
        <v>1033</v>
      </c>
      <c r="AP145" s="4" t="str">
        <f t="array" ref="AP145">XLOOKUP(TRUE, CHOOSECOLS(A145:V145, 1, 4, 7, 10, 13, 16, 19, 22)&lt;&gt;"", CHOOSECOLS(A145:V145, 1, 4, 7, 10, 13, 16, 19, 22), "", 0, -1)</f>
        <v>Types of hypoxia</v>
      </c>
      <c r="AQ145" s="2"/>
      <c r="AR145" s="2" t="s">
        <v>270</v>
      </c>
      <c r="AS145" s="4" t="s">
        <v>543</v>
      </c>
      <c r="AT145" s="4" t="s">
        <v>271</v>
      </c>
      <c r="AW145" s="4" t="s">
        <v>479</v>
      </c>
      <c r="BF145" s="4" t="s">
        <v>1029</v>
      </c>
      <c r="BR145" s="4" t="s">
        <v>136</v>
      </c>
      <c r="BS145" s="4" t="s">
        <v>1030</v>
      </c>
      <c r="BT145" s="4">
        <v>6.0</v>
      </c>
      <c r="BU145" s="2"/>
      <c r="BV145" s="2"/>
      <c r="BW145" s="2"/>
      <c r="BX145" s="2"/>
      <c r="BY145" s="2"/>
      <c r="BZ145" s="2"/>
      <c r="CA145" s="2"/>
      <c r="CB145" s="2"/>
      <c r="CC145" s="2"/>
    </row>
    <row r="146">
      <c r="A146" s="4" t="s">
        <v>105</v>
      </c>
      <c r="B146" s="4" t="s">
        <v>105</v>
      </c>
      <c r="C146" s="4" t="s">
        <v>1021</v>
      </c>
      <c r="D146" s="4" t="s">
        <v>816</v>
      </c>
      <c r="E146" s="4" t="s">
        <v>189</v>
      </c>
      <c r="F146" s="4" t="s">
        <v>190</v>
      </c>
      <c r="G146" s="4" t="s">
        <v>912</v>
      </c>
      <c r="H146" s="4" t="s">
        <v>913</v>
      </c>
      <c r="I146" s="4" t="s">
        <v>914</v>
      </c>
      <c r="J146" s="4" t="s">
        <v>1022</v>
      </c>
      <c r="K146" s="4" t="s">
        <v>1023</v>
      </c>
      <c r="L146" s="4" t="s">
        <v>1024</v>
      </c>
      <c r="Z146" s="2" t="s">
        <v>1034</v>
      </c>
      <c r="AA146" s="2" t="s">
        <v>261</v>
      </c>
      <c r="AB146" s="2" t="s">
        <v>116</v>
      </c>
      <c r="AC146" s="4" t="s">
        <v>117</v>
      </c>
      <c r="AD146" s="4" t="s">
        <v>118</v>
      </c>
      <c r="AE146" s="2" t="s">
        <v>262</v>
      </c>
      <c r="AF146" s="4" t="s">
        <v>117</v>
      </c>
      <c r="AG146" s="4" t="s">
        <v>118</v>
      </c>
      <c r="AI146" s="4" t="s">
        <v>357</v>
      </c>
      <c r="AJ146" s="2" t="s">
        <v>1017</v>
      </c>
      <c r="AK146" s="2" t="s">
        <v>245</v>
      </c>
      <c r="AL146" s="2"/>
      <c r="AM146" s="4" t="s">
        <v>1035</v>
      </c>
      <c r="AN146" s="4" t="s">
        <v>1027</v>
      </c>
      <c r="AO146" s="4" t="s">
        <v>1036</v>
      </c>
      <c r="AP146" s="4" t="str">
        <f t="array" ref="AP146">XLOOKUP(TRUE, CHOOSECOLS(A146:V146, 1, 4, 7, 10, 13, 16, 19, 22)&lt;&gt;"", CHOOSECOLS(A146:V146, 1, 4, 7, 10, 13, 16, 19, 22), "", 0, -1)</f>
        <v>Types of hypoxia</v>
      </c>
      <c r="AQ146" s="2"/>
      <c r="AR146" s="2" t="s">
        <v>270</v>
      </c>
      <c r="AS146" s="4" t="s">
        <v>543</v>
      </c>
      <c r="AT146" s="4" t="s">
        <v>271</v>
      </c>
      <c r="AW146" s="4" t="s">
        <v>479</v>
      </c>
      <c r="BF146" s="4" t="s">
        <v>1029</v>
      </c>
      <c r="BR146" s="4" t="s">
        <v>136</v>
      </c>
      <c r="BS146" s="4" t="s">
        <v>1030</v>
      </c>
      <c r="BT146" s="4">
        <v>6.0</v>
      </c>
      <c r="BU146" s="2"/>
      <c r="BV146" s="2"/>
      <c r="BW146" s="2"/>
      <c r="BX146" s="2"/>
      <c r="BY146" s="2"/>
      <c r="BZ146" s="2"/>
      <c r="CA146" s="2"/>
      <c r="CB146" s="2"/>
      <c r="CC146" s="2"/>
    </row>
    <row r="147">
      <c r="A147" s="4" t="s">
        <v>105</v>
      </c>
      <c r="B147" s="4" t="s">
        <v>105</v>
      </c>
      <c r="C147" s="4" t="s">
        <v>1021</v>
      </c>
      <c r="D147" s="4" t="s">
        <v>816</v>
      </c>
      <c r="E147" s="4" t="s">
        <v>189</v>
      </c>
      <c r="F147" s="4" t="s">
        <v>190</v>
      </c>
      <c r="G147" s="4" t="s">
        <v>912</v>
      </c>
      <c r="H147" s="4" t="s">
        <v>913</v>
      </c>
      <c r="I147" s="4" t="s">
        <v>914</v>
      </c>
      <c r="J147" s="4" t="s">
        <v>1022</v>
      </c>
      <c r="K147" s="4" t="s">
        <v>1023</v>
      </c>
      <c r="L147" s="4" t="s">
        <v>1024</v>
      </c>
      <c r="Z147" s="2" t="s">
        <v>1037</v>
      </c>
      <c r="AA147" s="2" t="s">
        <v>509</v>
      </c>
      <c r="AB147" s="2" t="s">
        <v>116</v>
      </c>
      <c r="AC147" s="4" t="s">
        <v>117</v>
      </c>
      <c r="AD147" s="4" t="s">
        <v>118</v>
      </c>
      <c r="AE147" s="4" t="s">
        <v>857</v>
      </c>
      <c r="AF147" s="4" t="s">
        <v>858</v>
      </c>
      <c r="AG147" s="4" t="s">
        <v>859</v>
      </c>
      <c r="AH147" s="2" t="s">
        <v>1038</v>
      </c>
      <c r="AI147" s="4" t="s">
        <v>357</v>
      </c>
      <c r="AJ147" s="2" t="s">
        <v>1039</v>
      </c>
      <c r="AK147" s="2" t="s">
        <v>245</v>
      </c>
      <c r="AL147" s="2"/>
      <c r="AM147" s="4" t="s">
        <v>1035</v>
      </c>
      <c r="AN147" s="4" t="s">
        <v>1027</v>
      </c>
      <c r="AO147" s="4" t="s">
        <v>1040</v>
      </c>
      <c r="AP147" s="4" t="str">
        <f t="array" ref="AP147">XLOOKUP(TRUE, CHOOSECOLS(A147:V147, 1, 4, 7, 10, 13, 16, 19, 22)&lt;&gt;"", CHOOSECOLS(A147:V147, 1, 4, 7, 10, 13, 16, 19, 22), "", 0, -1)</f>
        <v>Types of hypoxia</v>
      </c>
      <c r="AQ147" s="2" t="s">
        <v>269</v>
      </c>
      <c r="AR147" s="2" t="s">
        <v>270</v>
      </c>
      <c r="AS147" s="4" t="s">
        <v>543</v>
      </c>
      <c r="AT147" s="4" t="s">
        <v>271</v>
      </c>
      <c r="AW147" s="4" t="s">
        <v>479</v>
      </c>
      <c r="BF147" s="4" t="s">
        <v>1029</v>
      </c>
      <c r="BR147" s="4" t="s">
        <v>136</v>
      </c>
      <c r="BS147" s="4" t="s">
        <v>1030</v>
      </c>
      <c r="BT147" s="4">
        <v>6.0</v>
      </c>
      <c r="BU147" s="2"/>
      <c r="BV147" s="2"/>
      <c r="BW147" s="2"/>
      <c r="BX147" s="2"/>
      <c r="BY147" s="2"/>
      <c r="BZ147" s="2"/>
      <c r="CA147" s="2"/>
      <c r="CB147" s="2"/>
      <c r="CC147" s="2"/>
    </row>
    <row r="148">
      <c r="A148" s="4" t="s">
        <v>105</v>
      </c>
      <c r="B148" s="4" t="s">
        <v>105</v>
      </c>
      <c r="C148" s="4" t="s">
        <v>1041</v>
      </c>
      <c r="D148" s="4" t="s">
        <v>1042</v>
      </c>
      <c r="E148" s="4" t="s">
        <v>108</v>
      </c>
      <c r="F148" s="4" t="s">
        <v>1043</v>
      </c>
      <c r="G148" s="4" t="s">
        <v>1044</v>
      </c>
      <c r="H148" s="4" t="s">
        <v>186</v>
      </c>
      <c r="I148" s="4" t="s">
        <v>187</v>
      </c>
      <c r="J148" s="4" t="s">
        <v>1045</v>
      </c>
      <c r="Z148" s="2" t="s">
        <v>1046</v>
      </c>
      <c r="AA148" s="2" t="s">
        <v>195</v>
      </c>
      <c r="AB148" s="2" t="s">
        <v>1047</v>
      </c>
      <c r="AC148" s="4" t="s">
        <v>1048</v>
      </c>
      <c r="AD148" s="4" t="s">
        <v>1049</v>
      </c>
      <c r="AE148" s="2" t="s">
        <v>1050</v>
      </c>
      <c r="AF148" s="2" t="s">
        <v>1051</v>
      </c>
      <c r="AG148" s="2" t="s">
        <v>1052</v>
      </c>
      <c r="AI148" s="4" t="s">
        <v>357</v>
      </c>
      <c r="AJ148" s="2" t="s">
        <v>394</v>
      </c>
      <c r="AK148" s="4" t="s">
        <v>1053</v>
      </c>
      <c r="AL148" s="2"/>
      <c r="AM148" s="4" t="s">
        <v>1054</v>
      </c>
      <c r="AN148" s="4" t="s">
        <v>1055</v>
      </c>
      <c r="AO148" s="4" t="s">
        <v>1056</v>
      </c>
      <c r="AP148" s="4" t="str">
        <f t="array" ref="AP148">XLOOKUP(TRUE, CHOOSECOLS(A148:V148, 1, 4, 7, 10, 13, 16, 19, 22)&lt;&gt;"", CHOOSECOLS(A148:V148, 1, 4, 7, 10, 13, 16, 19, 22), "", 0, -1)</f>
        <v>Inspiration mechanics</v>
      </c>
      <c r="AQ148" s="2"/>
      <c r="AR148" s="2" t="s">
        <v>129</v>
      </c>
      <c r="AS148" s="4" t="s">
        <v>227</v>
      </c>
      <c r="AT148" s="4" t="s">
        <v>1057</v>
      </c>
      <c r="AW148" s="4" t="s">
        <v>1058</v>
      </c>
      <c r="BF148" s="4" t="s">
        <v>1059</v>
      </c>
      <c r="BR148" s="4" t="s">
        <v>136</v>
      </c>
      <c r="BS148" s="4" t="s">
        <v>1060</v>
      </c>
      <c r="BT148" s="4">
        <v>7.0</v>
      </c>
      <c r="BU148" s="2"/>
      <c r="BV148" s="2"/>
      <c r="BW148" s="2"/>
      <c r="BX148" s="2"/>
      <c r="BY148" s="2"/>
      <c r="BZ148" s="2"/>
      <c r="CA148" s="2"/>
      <c r="CB148" s="2"/>
      <c r="CC148" s="2"/>
    </row>
    <row r="149">
      <c r="A149" s="4" t="s">
        <v>105</v>
      </c>
      <c r="B149" s="4" t="s">
        <v>105</v>
      </c>
      <c r="C149" s="4" t="s">
        <v>1041</v>
      </c>
      <c r="D149" s="4" t="s">
        <v>1042</v>
      </c>
      <c r="E149" s="4" t="s">
        <v>108</v>
      </c>
      <c r="F149" s="4" t="s">
        <v>1043</v>
      </c>
      <c r="G149" s="4" t="s">
        <v>1044</v>
      </c>
      <c r="H149" s="4" t="s">
        <v>186</v>
      </c>
      <c r="I149" s="4" t="s">
        <v>187</v>
      </c>
      <c r="J149" s="4" t="s">
        <v>1045</v>
      </c>
      <c r="Z149" s="2" t="s">
        <v>1061</v>
      </c>
      <c r="AA149" s="2" t="s">
        <v>195</v>
      </c>
      <c r="AB149" s="2" t="s">
        <v>1047</v>
      </c>
      <c r="AC149" s="4" t="s">
        <v>1048</v>
      </c>
      <c r="AD149" s="4" t="s">
        <v>1049</v>
      </c>
      <c r="AE149" s="2" t="s">
        <v>1062</v>
      </c>
      <c r="AF149" s="2" t="s">
        <v>1062</v>
      </c>
      <c r="AG149" s="2" t="s">
        <v>1063</v>
      </c>
      <c r="AI149" s="4" t="s">
        <v>312</v>
      </c>
      <c r="AJ149" s="2" t="s">
        <v>394</v>
      </c>
      <c r="AK149" s="4" t="s">
        <v>1064</v>
      </c>
      <c r="AL149" s="2"/>
      <c r="AM149" s="4" t="s">
        <v>1065</v>
      </c>
      <c r="AN149" s="4" t="s">
        <v>1055</v>
      </c>
      <c r="AO149" s="4" t="s">
        <v>1066</v>
      </c>
      <c r="AP149" s="4" t="str">
        <f t="array" ref="AP149">XLOOKUP(TRUE, CHOOSECOLS(A149:V149, 1, 4, 7, 10, 13, 16, 19, 22)&lt;&gt;"", CHOOSECOLS(A149:V149, 1, 4, 7, 10, 13, 16, 19, 22), "", 0, -1)</f>
        <v>Inspiration mechanics</v>
      </c>
      <c r="AQ149" s="2"/>
      <c r="AR149" s="2" t="s">
        <v>129</v>
      </c>
      <c r="AS149" s="4" t="s">
        <v>227</v>
      </c>
      <c r="AT149" s="4" t="s">
        <v>1057</v>
      </c>
      <c r="AW149" s="4" t="s">
        <v>1058</v>
      </c>
      <c r="BF149" s="4" t="s">
        <v>1059</v>
      </c>
      <c r="BR149" s="4" t="s">
        <v>136</v>
      </c>
      <c r="BS149" s="4" t="s">
        <v>1060</v>
      </c>
      <c r="BT149" s="4">
        <v>7.0</v>
      </c>
      <c r="BU149" s="2"/>
      <c r="BV149" s="2"/>
      <c r="BW149" s="2"/>
      <c r="BX149" s="2"/>
      <c r="BY149" s="2"/>
      <c r="BZ149" s="2"/>
      <c r="CA149" s="2"/>
      <c r="CB149" s="2"/>
      <c r="CC149" s="2"/>
    </row>
    <row r="150">
      <c r="A150" s="4" t="s">
        <v>105</v>
      </c>
      <c r="B150" s="4" t="s">
        <v>105</v>
      </c>
      <c r="C150" s="4" t="s">
        <v>1041</v>
      </c>
      <c r="D150" s="4" t="s">
        <v>1042</v>
      </c>
      <c r="E150" s="4" t="s">
        <v>108</v>
      </c>
      <c r="F150" s="4" t="s">
        <v>1043</v>
      </c>
      <c r="G150" s="4" t="s">
        <v>1044</v>
      </c>
      <c r="H150" s="4" t="s">
        <v>186</v>
      </c>
      <c r="I150" s="4" t="s">
        <v>187</v>
      </c>
      <c r="J150" s="4" t="s">
        <v>1045</v>
      </c>
      <c r="Z150" s="2" t="s">
        <v>1067</v>
      </c>
      <c r="AA150" s="2" t="s">
        <v>195</v>
      </c>
      <c r="AB150" s="2" t="s">
        <v>1047</v>
      </c>
      <c r="AC150" s="45" t="s">
        <v>1048</v>
      </c>
      <c r="AD150" s="4" t="s">
        <v>1049</v>
      </c>
      <c r="AE150" s="2" t="s">
        <v>1050</v>
      </c>
      <c r="AF150" s="2" t="s">
        <v>1068</v>
      </c>
      <c r="AG150" s="2" t="s">
        <v>1069</v>
      </c>
      <c r="AI150" s="4" t="s">
        <v>312</v>
      </c>
      <c r="AJ150" s="2" t="s">
        <v>394</v>
      </c>
      <c r="AK150" s="4" t="s">
        <v>1070</v>
      </c>
      <c r="AL150" s="2"/>
      <c r="AM150" s="4" t="s">
        <v>1054</v>
      </c>
      <c r="AN150" s="4" t="s">
        <v>1055</v>
      </c>
      <c r="AO150" s="4" t="s">
        <v>1071</v>
      </c>
      <c r="AP150" s="4" t="str">
        <f t="array" ref="AP150">XLOOKUP(TRUE, CHOOSECOLS(A150:V150, 1, 4, 7, 10, 13, 16, 19, 22)&lt;&gt;"", CHOOSECOLS(A150:V150, 1, 4, 7, 10, 13, 16, 19, 22), "", 0, -1)</f>
        <v>Inspiration mechanics</v>
      </c>
      <c r="AQ150" s="2"/>
      <c r="AR150" s="2" t="s">
        <v>129</v>
      </c>
      <c r="AS150" s="4" t="s">
        <v>227</v>
      </c>
      <c r="AT150" s="4" t="s">
        <v>1057</v>
      </c>
      <c r="AW150" s="4" t="s">
        <v>1058</v>
      </c>
      <c r="BF150" s="4" t="s">
        <v>1059</v>
      </c>
      <c r="BR150" s="4" t="s">
        <v>136</v>
      </c>
      <c r="BS150" s="4" t="s">
        <v>1060</v>
      </c>
      <c r="BT150" s="4">
        <v>7.0</v>
      </c>
      <c r="BU150" s="2"/>
      <c r="BV150" s="2"/>
      <c r="BW150" s="2"/>
      <c r="BX150" s="2"/>
      <c r="BY150" s="2"/>
      <c r="BZ150" s="2"/>
      <c r="CA150" s="2"/>
      <c r="CB150" s="2"/>
      <c r="CC150" s="2"/>
    </row>
    <row r="151">
      <c r="A151" s="4" t="s">
        <v>105</v>
      </c>
      <c r="B151" s="4" t="s">
        <v>105</v>
      </c>
      <c r="C151" s="4" t="s">
        <v>1072</v>
      </c>
      <c r="D151" s="4" t="s">
        <v>1042</v>
      </c>
      <c r="E151" s="4" t="s">
        <v>108</v>
      </c>
      <c r="F151" s="4" t="s">
        <v>1043</v>
      </c>
      <c r="G151" s="4" t="s">
        <v>1044</v>
      </c>
      <c r="H151" s="4" t="s">
        <v>186</v>
      </c>
      <c r="I151" s="4" t="s">
        <v>187</v>
      </c>
      <c r="J151" s="4" t="s">
        <v>1073</v>
      </c>
      <c r="Z151" s="2" t="s">
        <v>1074</v>
      </c>
      <c r="AA151" s="2" t="s">
        <v>195</v>
      </c>
      <c r="AB151" s="2" t="s">
        <v>1075</v>
      </c>
      <c r="AC151" s="45" t="s">
        <v>117</v>
      </c>
      <c r="AD151" s="4" t="s">
        <v>118</v>
      </c>
      <c r="AE151" s="2" t="s">
        <v>1076</v>
      </c>
      <c r="AF151" s="2" t="s">
        <v>1076</v>
      </c>
      <c r="AG151" s="2" t="s">
        <v>1077</v>
      </c>
      <c r="AI151" s="4" t="s">
        <v>122</v>
      </c>
      <c r="AJ151" s="2" t="s">
        <v>394</v>
      </c>
      <c r="AK151" s="4" t="s">
        <v>1078</v>
      </c>
      <c r="AL151" s="2"/>
      <c r="AM151" s="4" t="s">
        <v>1079</v>
      </c>
      <c r="AN151" s="4" t="s">
        <v>1080</v>
      </c>
      <c r="AO151" s="4" t="s">
        <v>1081</v>
      </c>
      <c r="AP151" s="4" t="str">
        <f t="array" ref="AP151">XLOOKUP(TRUE, CHOOSECOLS(A151:V151, 1, 4, 7, 10, 13, 16, 19, 22)&lt;&gt;"", CHOOSECOLS(A151:V151, 1, 4, 7, 10, 13, 16, 19, 22), "", 0, -1)</f>
        <v>Expiration mechanics</v>
      </c>
      <c r="AQ151" s="2"/>
      <c r="AR151" s="2" t="s">
        <v>129</v>
      </c>
      <c r="AS151" s="4" t="s">
        <v>227</v>
      </c>
      <c r="AT151" s="4" t="s">
        <v>1082</v>
      </c>
      <c r="BF151" s="4" t="s">
        <v>1083</v>
      </c>
      <c r="BR151" s="4" t="s">
        <v>136</v>
      </c>
      <c r="BS151" s="4" t="s">
        <v>1084</v>
      </c>
      <c r="BT151" s="4">
        <v>7.0</v>
      </c>
      <c r="BU151" s="2"/>
      <c r="BV151" s="2"/>
      <c r="BW151" s="2"/>
      <c r="BX151" s="2"/>
      <c r="BY151" s="2"/>
      <c r="BZ151" s="2"/>
      <c r="CA151" s="2"/>
      <c r="CB151" s="2"/>
      <c r="CC151" s="2"/>
    </row>
    <row r="152">
      <c r="A152" s="4" t="s">
        <v>105</v>
      </c>
      <c r="B152" s="4" t="s">
        <v>105</v>
      </c>
      <c r="C152" s="4" t="s">
        <v>1072</v>
      </c>
      <c r="D152" s="4" t="s">
        <v>1042</v>
      </c>
      <c r="E152" s="4" t="s">
        <v>108</v>
      </c>
      <c r="F152" s="4" t="s">
        <v>1043</v>
      </c>
      <c r="G152" s="4" t="s">
        <v>1044</v>
      </c>
      <c r="H152" s="4" t="s">
        <v>186</v>
      </c>
      <c r="I152" s="4" t="s">
        <v>187</v>
      </c>
      <c r="J152" s="4" t="s">
        <v>1073</v>
      </c>
      <c r="Z152" s="2" t="s">
        <v>1085</v>
      </c>
      <c r="AA152" s="2" t="s">
        <v>195</v>
      </c>
      <c r="AB152" s="2" t="s">
        <v>1075</v>
      </c>
      <c r="AC152" s="45" t="s">
        <v>117</v>
      </c>
      <c r="AD152" s="4" t="s">
        <v>118</v>
      </c>
      <c r="AE152" s="2" t="s">
        <v>1076</v>
      </c>
      <c r="AF152" s="2" t="s">
        <v>1076</v>
      </c>
      <c r="AG152" s="2" t="s">
        <v>1077</v>
      </c>
      <c r="AI152" s="4" t="s">
        <v>312</v>
      </c>
      <c r="AJ152" s="2" t="s">
        <v>394</v>
      </c>
      <c r="AK152" s="4" t="s">
        <v>1086</v>
      </c>
      <c r="AL152" s="2"/>
      <c r="AM152" s="4" t="s">
        <v>1087</v>
      </c>
      <c r="AN152" s="4" t="s">
        <v>1080</v>
      </c>
      <c r="AO152" s="4" t="s">
        <v>1088</v>
      </c>
      <c r="AP152" s="4" t="str">
        <f t="array" ref="AP152">XLOOKUP(TRUE, CHOOSECOLS(A152:V152, 1, 4, 7, 10, 13, 16, 19, 22)&lt;&gt;"", CHOOSECOLS(A152:V152, 1, 4, 7, 10, 13, 16, 19, 22), "", 0, -1)</f>
        <v>Expiration mechanics</v>
      </c>
      <c r="AQ152" s="2"/>
      <c r="AR152" s="2" t="s">
        <v>129</v>
      </c>
      <c r="AS152" s="4" t="s">
        <v>227</v>
      </c>
      <c r="AT152" s="4" t="s">
        <v>1082</v>
      </c>
      <c r="BF152" s="4" t="s">
        <v>1083</v>
      </c>
      <c r="BR152" s="4" t="s">
        <v>136</v>
      </c>
      <c r="BS152" s="4" t="s">
        <v>1084</v>
      </c>
      <c r="BT152" s="4">
        <v>7.0</v>
      </c>
      <c r="BU152" s="2"/>
      <c r="BV152" s="2"/>
      <c r="BW152" s="2"/>
      <c r="BX152" s="2"/>
      <c r="BY152" s="2"/>
      <c r="BZ152" s="2"/>
      <c r="CA152" s="2"/>
      <c r="CB152" s="2"/>
      <c r="CC152" s="2"/>
    </row>
    <row r="153">
      <c r="A153" s="4" t="s">
        <v>105</v>
      </c>
      <c r="B153" s="4" t="s">
        <v>105</v>
      </c>
      <c r="C153" s="4" t="s">
        <v>1072</v>
      </c>
      <c r="D153" s="4" t="s">
        <v>1042</v>
      </c>
      <c r="E153" s="4" t="s">
        <v>108</v>
      </c>
      <c r="F153" s="4" t="s">
        <v>1043</v>
      </c>
      <c r="G153" s="4" t="s">
        <v>1044</v>
      </c>
      <c r="H153" s="4" t="s">
        <v>186</v>
      </c>
      <c r="I153" s="4" t="s">
        <v>187</v>
      </c>
      <c r="J153" s="4" t="s">
        <v>1073</v>
      </c>
      <c r="Z153" s="2" t="s">
        <v>1089</v>
      </c>
      <c r="AA153" s="2" t="s">
        <v>195</v>
      </c>
      <c r="AB153" s="2" t="s">
        <v>1075</v>
      </c>
      <c r="AC153" s="45" t="s">
        <v>117</v>
      </c>
      <c r="AD153" s="4" t="s">
        <v>118</v>
      </c>
      <c r="AE153" s="2" t="s">
        <v>1076</v>
      </c>
      <c r="AF153" s="2" t="s">
        <v>1076</v>
      </c>
      <c r="AG153" s="2" t="s">
        <v>1077</v>
      </c>
      <c r="AI153" s="4" t="s">
        <v>357</v>
      </c>
      <c r="AJ153" s="2" t="s">
        <v>394</v>
      </c>
      <c r="AK153" s="4" t="s">
        <v>1090</v>
      </c>
      <c r="AL153" s="2"/>
      <c r="AM153" s="4" t="s">
        <v>1065</v>
      </c>
      <c r="AN153" s="4" t="s">
        <v>1080</v>
      </c>
      <c r="AO153" s="4" t="s">
        <v>1091</v>
      </c>
      <c r="AP153" s="4" t="str">
        <f t="array" ref="AP153">XLOOKUP(TRUE, CHOOSECOLS(A153:V153, 1, 4, 7, 10, 13, 16, 19, 22)&lt;&gt;"", CHOOSECOLS(A153:V153, 1, 4, 7, 10, 13, 16, 19, 22), "", 0, -1)</f>
        <v>Expiration mechanics</v>
      </c>
      <c r="AQ153" s="2"/>
      <c r="AR153" s="2" t="s">
        <v>129</v>
      </c>
      <c r="AS153" s="4" t="s">
        <v>227</v>
      </c>
      <c r="AT153" s="4" t="s">
        <v>1082</v>
      </c>
      <c r="BF153" s="4" t="s">
        <v>1083</v>
      </c>
      <c r="BR153" s="4" t="s">
        <v>136</v>
      </c>
      <c r="BS153" s="4" t="s">
        <v>1084</v>
      </c>
      <c r="BT153" s="4">
        <v>7.0</v>
      </c>
      <c r="BU153" s="2"/>
      <c r="BV153" s="2"/>
      <c r="BW153" s="2"/>
      <c r="BX153" s="2"/>
      <c r="BY153" s="2"/>
      <c r="BZ153" s="2"/>
      <c r="CA153" s="2"/>
      <c r="CB153" s="2"/>
      <c r="CC153" s="2"/>
    </row>
    <row r="154">
      <c r="A154" s="4" t="s">
        <v>105</v>
      </c>
      <c r="B154" s="4" t="s">
        <v>105</v>
      </c>
      <c r="C154" s="4" t="s">
        <v>1092</v>
      </c>
      <c r="D154" s="4" t="s">
        <v>1042</v>
      </c>
      <c r="E154" s="4" t="s">
        <v>108</v>
      </c>
      <c r="F154" s="4" t="s">
        <v>1043</v>
      </c>
      <c r="G154" s="4" t="s">
        <v>1044</v>
      </c>
      <c r="H154" s="4" t="s">
        <v>186</v>
      </c>
      <c r="I154" s="4" t="s">
        <v>187</v>
      </c>
      <c r="J154" s="4" t="s">
        <v>1093</v>
      </c>
      <c r="K154" s="4" t="s">
        <v>1094</v>
      </c>
      <c r="L154" s="4" t="s">
        <v>1095</v>
      </c>
      <c r="Z154" s="2" t="s">
        <v>1096</v>
      </c>
      <c r="AA154" s="2" t="s">
        <v>115</v>
      </c>
      <c r="AB154" s="2" t="s">
        <v>116</v>
      </c>
      <c r="AC154" s="45" t="s">
        <v>117</v>
      </c>
      <c r="AD154" s="4" t="s">
        <v>118</v>
      </c>
      <c r="AE154" s="2" t="s">
        <v>1097</v>
      </c>
      <c r="AF154" s="4" t="s">
        <v>457</v>
      </c>
      <c r="AG154" s="4" t="s">
        <v>458</v>
      </c>
      <c r="AI154" s="4" t="s">
        <v>122</v>
      </c>
      <c r="AJ154" s="2" t="s">
        <v>371</v>
      </c>
      <c r="AK154" s="4" t="s">
        <v>1098</v>
      </c>
      <c r="AL154" s="2"/>
      <c r="AM154" s="4" t="s">
        <v>1099</v>
      </c>
      <c r="AN154" s="4" t="s">
        <v>1100</v>
      </c>
      <c r="AO154" s="4" t="s">
        <v>1101</v>
      </c>
      <c r="AP154" s="4" t="str">
        <f t="array" ref="AP154">XLOOKUP(TRUE, CHOOSECOLS(A154:V154, 1, 4, 7, 10, 13, 16, 19, 22)&lt;&gt;"", CHOOSECOLS(A154:V154, 1, 4, 7, 10, 13, 16, 19, 22), "", 0, -1)</f>
        <v>Elastic properties of lung</v>
      </c>
      <c r="AQ154" s="2"/>
      <c r="AR154" s="2" t="s">
        <v>129</v>
      </c>
      <c r="AS154" s="4" t="s">
        <v>130</v>
      </c>
      <c r="AT154" s="4" t="s">
        <v>1102</v>
      </c>
      <c r="BF154" s="4" t="s">
        <v>1103</v>
      </c>
      <c r="BR154" s="4" t="s">
        <v>136</v>
      </c>
      <c r="BS154" s="4" t="s">
        <v>1104</v>
      </c>
      <c r="BT154" s="4">
        <v>7.0</v>
      </c>
      <c r="BU154" s="2"/>
      <c r="BV154" s="2"/>
      <c r="BW154" s="2"/>
      <c r="BX154" s="2"/>
      <c r="BY154" s="2"/>
      <c r="BZ154" s="2"/>
      <c r="CA154" s="2"/>
      <c r="CB154" s="2"/>
      <c r="CC154" s="2"/>
    </row>
    <row r="155">
      <c r="A155" s="4" t="s">
        <v>105</v>
      </c>
      <c r="B155" s="4" t="s">
        <v>105</v>
      </c>
      <c r="C155" s="4" t="s">
        <v>1092</v>
      </c>
      <c r="D155" s="4" t="s">
        <v>1042</v>
      </c>
      <c r="E155" s="4" t="s">
        <v>108</v>
      </c>
      <c r="F155" s="4" t="s">
        <v>1043</v>
      </c>
      <c r="G155" s="4" t="s">
        <v>1044</v>
      </c>
      <c r="H155" s="4" t="s">
        <v>186</v>
      </c>
      <c r="I155" s="4" t="s">
        <v>187</v>
      </c>
      <c r="J155" s="4" t="s">
        <v>1093</v>
      </c>
      <c r="K155" s="4" t="s">
        <v>1094</v>
      </c>
      <c r="L155" s="4" t="s">
        <v>1095</v>
      </c>
      <c r="Z155" s="2" t="s">
        <v>1105</v>
      </c>
      <c r="AA155" s="2" t="s">
        <v>115</v>
      </c>
      <c r="AB155" s="2" t="s">
        <v>116</v>
      </c>
      <c r="AC155" s="45" t="s">
        <v>117</v>
      </c>
      <c r="AD155" s="4" t="s">
        <v>118</v>
      </c>
      <c r="AE155" s="2" t="s">
        <v>1097</v>
      </c>
      <c r="AF155" s="4" t="s">
        <v>457</v>
      </c>
      <c r="AG155" s="4" t="s">
        <v>458</v>
      </c>
      <c r="AI155" s="4" t="s">
        <v>122</v>
      </c>
      <c r="AJ155" s="2" t="s">
        <v>394</v>
      </c>
      <c r="AK155" s="4" t="s">
        <v>1106</v>
      </c>
      <c r="AL155" s="2"/>
      <c r="AM155" s="4" t="s">
        <v>1107</v>
      </c>
      <c r="AN155" s="4" t="s">
        <v>1100</v>
      </c>
      <c r="AO155" s="4" t="s">
        <v>1108</v>
      </c>
      <c r="AP155" s="4" t="str">
        <f t="array" ref="AP155">XLOOKUP(TRUE, CHOOSECOLS(A155:V155, 1, 4, 7, 10, 13, 16, 19, 22)&lt;&gt;"", CHOOSECOLS(A155:V155, 1, 4, 7, 10, 13, 16, 19, 22), "", 0, -1)</f>
        <v>Elastic properties of lung</v>
      </c>
      <c r="AQ155" s="2"/>
      <c r="AR155" s="2" t="s">
        <v>129</v>
      </c>
      <c r="AS155" s="4" t="s">
        <v>130</v>
      </c>
      <c r="AT155" s="4" t="s">
        <v>1102</v>
      </c>
      <c r="BF155" s="4" t="s">
        <v>1103</v>
      </c>
      <c r="BR155" s="4" t="s">
        <v>136</v>
      </c>
      <c r="BS155" s="4" t="s">
        <v>1104</v>
      </c>
      <c r="BT155" s="4">
        <v>7.0</v>
      </c>
      <c r="BU155" s="2"/>
      <c r="BV155" s="2"/>
      <c r="BW155" s="2"/>
      <c r="BX155" s="2"/>
      <c r="BY155" s="2"/>
      <c r="BZ155" s="2"/>
      <c r="CA155" s="2"/>
      <c r="CB155" s="2"/>
      <c r="CC155" s="2"/>
    </row>
    <row r="156">
      <c r="A156" s="4" t="s">
        <v>105</v>
      </c>
      <c r="B156" s="4" t="s">
        <v>105</v>
      </c>
      <c r="C156" s="4" t="s">
        <v>1092</v>
      </c>
      <c r="D156" s="4" t="s">
        <v>1042</v>
      </c>
      <c r="E156" s="4" t="s">
        <v>108</v>
      </c>
      <c r="F156" s="4" t="s">
        <v>1043</v>
      </c>
      <c r="G156" s="4" t="s">
        <v>1044</v>
      </c>
      <c r="H156" s="4" t="s">
        <v>186</v>
      </c>
      <c r="I156" s="4" t="s">
        <v>187</v>
      </c>
      <c r="J156" s="4" t="s">
        <v>1093</v>
      </c>
      <c r="K156" s="4" t="s">
        <v>1094</v>
      </c>
      <c r="L156" s="4" t="s">
        <v>1095</v>
      </c>
      <c r="Z156" s="2" t="s">
        <v>1109</v>
      </c>
      <c r="AA156" s="2" t="s">
        <v>115</v>
      </c>
      <c r="AB156" s="2" t="s">
        <v>116</v>
      </c>
      <c r="AC156" s="45" t="s">
        <v>117</v>
      </c>
      <c r="AD156" s="4" t="s">
        <v>118</v>
      </c>
      <c r="AE156" s="2" t="s">
        <v>1097</v>
      </c>
      <c r="AF156" s="4" t="s">
        <v>457</v>
      </c>
      <c r="AG156" s="4" t="s">
        <v>458</v>
      </c>
      <c r="AI156" s="4" t="s">
        <v>122</v>
      </c>
      <c r="AJ156" s="2" t="s">
        <v>140</v>
      </c>
      <c r="AK156" s="2" t="s">
        <v>1110</v>
      </c>
      <c r="AL156" s="2" t="s">
        <v>1111</v>
      </c>
      <c r="AM156" s="4" t="s">
        <v>1099</v>
      </c>
      <c r="AN156" s="4" t="s">
        <v>1100</v>
      </c>
      <c r="AO156" s="4" t="s">
        <v>1112</v>
      </c>
      <c r="AP156" s="4" t="str">
        <f t="array" ref="AP156">XLOOKUP(TRUE, CHOOSECOLS(A156:V156, 1, 4, 7, 10, 13, 16, 19, 22)&lt;&gt;"", CHOOSECOLS(A156:V156, 1, 4, 7, 10, 13, 16, 19, 22), "", 0, -1)</f>
        <v>Elastic properties of lung</v>
      </c>
      <c r="AQ156" s="2"/>
      <c r="AR156" s="2" t="s">
        <v>129</v>
      </c>
      <c r="AS156" s="4" t="s">
        <v>130</v>
      </c>
      <c r="AT156" s="4" t="s">
        <v>1102</v>
      </c>
      <c r="BF156" s="4" t="s">
        <v>1103</v>
      </c>
      <c r="BR156" s="4" t="s">
        <v>136</v>
      </c>
      <c r="BS156" s="4" t="s">
        <v>1104</v>
      </c>
      <c r="BT156" s="4">
        <v>7.0</v>
      </c>
      <c r="BU156" s="2"/>
      <c r="BV156" s="2"/>
      <c r="BW156" s="2"/>
      <c r="BX156" s="2"/>
      <c r="BY156" s="2"/>
      <c r="BZ156" s="2"/>
      <c r="CA156" s="2"/>
      <c r="CB156" s="2"/>
      <c r="CC156" s="2"/>
    </row>
    <row r="157">
      <c r="A157" s="4" t="s">
        <v>105</v>
      </c>
      <c r="B157" s="4" t="s">
        <v>105</v>
      </c>
      <c r="C157" s="4" t="s">
        <v>1113</v>
      </c>
      <c r="D157" s="4" t="s">
        <v>1042</v>
      </c>
      <c r="E157" s="4" t="s">
        <v>108</v>
      </c>
      <c r="F157" s="4" t="s">
        <v>1043</v>
      </c>
      <c r="G157" s="4" t="s">
        <v>1044</v>
      </c>
      <c r="H157" s="4" t="s">
        <v>186</v>
      </c>
      <c r="I157" s="4" t="s">
        <v>187</v>
      </c>
      <c r="J157" s="4" t="s">
        <v>1114</v>
      </c>
      <c r="K157" s="4" t="s">
        <v>1115</v>
      </c>
      <c r="L157" s="4" t="s">
        <v>1116</v>
      </c>
      <c r="Z157" s="2" t="s">
        <v>1117</v>
      </c>
      <c r="AA157" s="2" t="s">
        <v>195</v>
      </c>
      <c r="AB157" s="2" t="s">
        <v>116</v>
      </c>
      <c r="AC157" s="45" t="s">
        <v>117</v>
      </c>
      <c r="AD157" s="4" t="s">
        <v>118</v>
      </c>
      <c r="AE157" s="2" t="s">
        <v>1118</v>
      </c>
      <c r="AF157" s="2" t="s">
        <v>1118</v>
      </c>
      <c r="AG157" s="2" t="s">
        <v>1119</v>
      </c>
      <c r="AI157" s="4" t="s">
        <v>122</v>
      </c>
      <c r="AJ157" s="2" t="s">
        <v>140</v>
      </c>
      <c r="AK157" s="4" t="s">
        <v>1120</v>
      </c>
      <c r="AL157" s="4" t="s">
        <v>1121</v>
      </c>
      <c r="AM157" s="4" t="s">
        <v>1054</v>
      </c>
      <c r="AN157" s="4" t="s">
        <v>1122</v>
      </c>
      <c r="AO157" s="4" t="s">
        <v>1123</v>
      </c>
      <c r="AP157" s="4" t="str">
        <f t="array" ref="AP157">XLOOKUP(TRUE, CHOOSECOLS(A157:V157, 1, 4, 7, 10, 13, 16, 19, 22)&lt;&gt;"", CHOOSECOLS(A157:V157, 1, 4, 7, 10, 13, 16, 19, 22), "", 0, -1)</f>
        <v>Surface tension and surfactant</v>
      </c>
      <c r="AQ157" s="2"/>
      <c r="AR157" s="2" t="s">
        <v>201</v>
      </c>
      <c r="AS157" s="4" t="s">
        <v>543</v>
      </c>
      <c r="AT157" s="4" t="s">
        <v>1124</v>
      </c>
      <c r="AW157" s="4" t="s">
        <v>132</v>
      </c>
      <c r="AX157" s="4" t="s">
        <v>133</v>
      </c>
      <c r="AY157" s="4" t="s">
        <v>134</v>
      </c>
      <c r="BF157" s="4" t="s">
        <v>1125</v>
      </c>
      <c r="BI157" s="4" t="s">
        <v>1126</v>
      </c>
      <c r="BR157" s="4" t="s">
        <v>136</v>
      </c>
      <c r="BS157" s="4" t="s">
        <v>1127</v>
      </c>
      <c r="BT157" s="4">
        <v>7.0</v>
      </c>
      <c r="BU157" s="2"/>
      <c r="BV157" s="2"/>
      <c r="BW157" s="2"/>
      <c r="BX157" s="2"/>
      <c r="BY157" s="2"/>
      <c r="BZ157" s="2"/>
      <c r="CA157" s="2"/>
      <c r="CB157" s="2"/>
      <c r="CC157" s="2"/>
    </row>
    <row r="158">
      <c r="A158" s="4" t="s">
        <v>105</v>
      </c>
      <c r="B158" s="4" t="s">
        <v>105</v>
      </c>
      <c r="C158" s="4" t="s">
        <v>1113</v>
      </c>
      <c r="D158" s="4" t="s">
        <v>1042</v>
      </c>
      <c r="E158" s="4" t="s">
        <v>108</v>
      </c>
      <c r="F158" s="4" t="s">
        <v>1043</v>
      </c>
      <c r="G158" s="4" t="s">
        <v>1044</v>
      </c>
      <c r="H158" s="4" t="s">
        <v>186</v>
      </c>
      <c r="I158" s="4" t="s">
        <v>187</v>
      </c>
      <c r="J158" s="4" t="s">
        <v>1114</v>
      </c>
      <c r="K158" s="4" t="s">
        <v>1115</v>
      </c>
      <c r="L158" s="4" t="s">
        <v>1116</v>
      </c>
      <c r="Z158" s="2" t="s">
        <v>1128</v>
      </c>
      <c r="AA158" s="2" t="s">
        <v>195</v>
      </c>
      <c r="AB158" s="2" t="s">
        <v>116</v>
      </c>
      <c r="AC158" s="4" t="s">
        <v>117</v>
      </c>
      <c r="AD158" s="4" t="s">
        <v>118</v>
      </c>
      <c r="AE158" s="2" t="s">
        <v>1118</v>
      </c>
      <c r="AF158" s="2" t="s">
        <v>1118</v>
      </c>
      <c r="AG158" s="2" t="s">
        <v>1119</v>
      </c>
      <c r="AI158" s="4" t="s">
        <v>357</v>
      </c>
      <c r="AJ158" s="2" t="s">
        <v>394</v>
      </c>
      <c r="AK158" s="4" t="s">
        <v>1129</v>
      </c>
      <c r="AL158" s="2"/>
      <c r="AM158" s="4" t="s">
        <v>1130</v>
      </c>
      <c r="AN158" s="4" t="s">
        <v>1122</v>
      </c>
      <c r="AO158" s="4" t="s">
        <v>1131</v>
      </c>
      <c r="AP158" s="4" t="str">
        <f t="array" ref="AP158">XLOOKUP(TRUE, CHOOSECOLS(A158:V158, 1, 4, 7, 10, 13, 16, 19, 22)&lt;&gt;"", CHOOSECOLS(A158:V158, 1, 4, 7, 10, 13, 16, 19, 22), "", 0, -1)</f>
        <v>Surface tension and surfactant</v>
      </c>
      <c r="AQ158" s="2"/>
      <c r="AR158" s="2" t="s">
        <v>201</v>
      </c>
      <c r="AS158" s="4" t="s">
        <v>543</v>
      </c>
      <c r="AT158" s="4" t="s">
        <v>1124</v>
      </c>
      <c r="AW158" s="4" t="s">
        <v>132</v>
      </c>
      <c r="AX158" s="4" t="s">
        <v>133</v>
      </c>
      <c r="AY158" s="4" t="s">
        <v>134</v>
      </c>
      <c r="BF158" s="4" t="s">
        <v>1125</v>
      </c>
      <c r="BI158" s="4" t="s">
        <v>1126</v>
      </c>
      <c r="BR158" s="4" t="s">
        <v>136</v>
      </c>
      <c r="BS158" s="4" t="s">
        <v>1127</v>
      </c>
      <c r="BT158" s="4">
        <v>7.0</v>
      </c>
      <c r="BU158" s="2"/>
      <c r="BV158" s="2"/>
      <c r="BW158" s="2"/>
      <c r="BX158" s="2"/>
      <c r="BY158" s="2"/>
      <c r="BZ158" s="2"/>
      <c r="CA158" s="2"/>
      <c r="CB158" s="2"/>
      <c r="CC158" s="2"/>
    </row>
    <row r="159">
      <c r="A159" s="4" t="s">
        <v>105</v>
      </c>
      <c r="B159" s="4" t="s">
        <v>105</v>
      </c>
      <c r="C159" s="4" t="s">
        <v>1113</v>
      </c>
      <c r="D159" s="4" t="s">
        <v>1042</v>
      </c>
      <c r="E159" s="4" t="s">
        <v>108</v>
      </c>
      <c r="F159" s="4" t="s">
        <v>1043</v>
      </c>
      <c r="G159" s="4" t="s">
        <v>1044</v>
      </c>
      <c r="H159" s="4" t="s">
        <v>186</v>
      </c>
      <c r="I159" s="4" t="s">
        <v>187</v>
      </c>
      <c r="J159" s="4" t="s">
        <v>1114</v>
      </c>
      <c r="K159" s="4" t="s">
        <v>1115</v>
      </c>
      <c r="L159" s="4" t="s">
        <v>1116</v>
      </c>
      <c r="Z159" s="2" t="s">
        <v>1132</v>
      </c>
      <c r="AA159" s="2" t="s">
        <v>509</v>
      </c>
      <c r="AB159" s="2" t="s">
        <v>116</v>
      </c>
      <c r="AC159" s="4" t="s">
        <v>117</v>
      </c>
      <c r="AD159" s="4" t="s">
        <v>118</v>
      </c>
      <c r="AE159" s="4" t="s">
        <v>1133</v>
      </c>
      <c r="AF159" s="4" t="s">
        <v>1134</v>
      </c>
      <c r="AG159" s="4" t="s">
        <v>1135</v>
      </c>
      <c r="AI159" s="4" t="s">
        <v>122</v>
      </c>
      <c r="AJ159" s="2" t="s">
        <v>1136</v>
      </c>
      <c r="AK159" s="4" t="s">
        <v>1137</v>
      </c>
      <c r="AL159" s="2"/>
      <c r="AM159" s="4" t="s">
        <v>1138</v>
      </c>
      <c r="AN159" s="4" t="s">
        <v>1122</v>
      </c>
      <c r="AO159" s="4" t="s">
        <v>1139</v>
      </c>
      <c r="AP159" s="4" t="str">
        <f t="array" ref="AP159">XLOOKUP(TRUE, CHOOSECOLS(A159:V159, 1, 4, 7, 10, 13, 16, 19, 22)&lt;&gt;"", CHOOSECOLS(A159:V159, 1, 4, 7, 10, 13, 16, 19, 22), "", 0, -1)</f>
        <v>Surface tension and surfactant</v>
      </c>
      <c r="AQ159" s="2"/>
      <c r="AR159" s="2" t="s">
        <v>518</v>
      </c>
      <c r="AS159" s="4" t="s">
        <v>543</v>
      </c>
      <c r="AT159" s="4" t="s">
        <v>1124</v>
      </c>
      <c r="AW159" s="4" t="s">
        <v>132</v>
      </c>
      <c r="AX159" s="4" t="s">
        <v>133</v>
      </c>
      <c r="AY159" s="4" t="s">
        <v>134</v>
      </c>
      <c r="BF159" s="4" t="s">
        <v>1125</v>
      </c>
      <c r="BI159" s="4" t="s">
        <v>1126</v>
      </c>
      <c r="BR159" s="4" t="s">
        <v>136</v>
      </c>
      <c r="BS159" s="4" t="s">
        <v>1127</v>
      </c>
      <c r="BT159" s="4">
        <v>7.0</v>
      </c>
      <c r="BU159" s="2"/>
      <c r="BV159" s="2"/>
      <c r="BW159" s="2"/>
      <c r="BX159" s="2"/>
      <c r="BY159" s="2"/>
      <c r="BZ159" s="2"/>
      <c r="CA159" s="2"/>
      <c r="CB159" s="2"/>
      <c r="CC159" s="2"/>
    </row>
    <row r="160">
      <c r="A160" s="4" t="s">
        <v>105</v>
      </c>
      <c r="B160" s="4" t="s">
        <v>105</v>
      </c>
      <c r="C160" s="4" t="s">
        <v>1140</v>
      </c>
      <c r="D160" s="4" t="s">
        <v>1042</v>
      </c>
      <c r="E160" s="4" t="s">
        <v>108</v>
      </c>
      <c r="F160" s="4" t="s">
        <v>1043</v>
      </c>
      <c r="G160" s="4" t="s">
        <v>1044</v>
      </c>
      <c r="H160" s="4" t="s">
        <v>186</v>
      </c>
      <c r="I160" s="4" t="s">
        <v>187</v>
      </c>
      <c r="J160" s="4" t="s">
        <v>1141</v>
      </c>
      <c r="K160" s="4" t="s">
        <v>728</v>
      </c>
      <c r="L160" s="4" t="s">
        <v>729</v>
      </c>
      <c r="Z160" s="2" t="s">
        <v>1142</v>
      </c>
      <c r="AA160" s="2" t="s">
        <v>115</v>
      </c>
      <c r="AB160" s="2" t="s">
        <v>116</v>
      </c>
      <c r="AC160" s="4" t="s">
        <v>117</v>
      </c>
      <c r="AD160" s="4" t="s">
        <v>118</v>
      </c>
      <c r="AE160" s="4" t="s">
        <v>773</v>
      </c>
      <c r="AF160" s="4" t="s">
        <v>117</v>
      </c>
      <c r="AG160" s="4" t="s">
        <v>118</v>
      </c>
      <c r="AI160" s="4" t="s">
        <v>122</v>
      </c>
      <c r="AJ160" s="2" t="s">
        <v>500</v>
      </c>
      <c r="AK160" s="2" t="s">
        <v>1143</v>
      </c>
      <c r="AL160" s="2"/>
      <c r="AM160" s="4" t="s">
        <v>1054</v>
      </c>
      <c r="AN160" s="4" t="s">
        <v>1144</v>
      </c>
      <c r="AO160" s="4" t="s">
        <v>1145</v>
      </c>
      <c r="AP160" s="4" t="str">
        <f t="array" ref="AP160">XLOOKUP(TRUE, CHOOSECOLS(A160:V160, 1, 4, 7, 10, 13, 16, 19, 22)&lt;&gt;"", CHOOSECOLS(A160:V160, 1, 4, 7, 10, 13, 16, 19, 22), "", 0, -1)</f>
        <v>Regional ventilation</v>
      </c>
      <c r="AQ160" s="2"/>
      <c r="AR160" s="2" t="s">
        <v>129</v>
      </c>
      <c r="AS160" s="4" t="s">
        <v>227</v>
      </c>
      <c r="AT160" s="4" t="s">
        <v>1146</v>
      </c>
      <c r="BF160" s="4" t="s">
        <v>1147</v>
      </c>
      <c r="BR160" s="4" t="s">
        <v>136</v>
      </c>
      <c r="BS160" s="4" t="s">
        <v>1148</v>
      </c>
      <c r="BT160" s="4">
        <v>7.0</v>
      </c>
      <c r="BU160" s="2"/>
      <c r="BV160" s="2"/>
      <c r="BW160" s="2"/>
      <c r="BX160" s="2"/>
      <c r="BY160" s="2"/>
      <c r="BZ160" s="2"/>
      <c r="CA160" s="2"/>
      <c r="CB160" s="2"/>
      <c r="CC160" s="2"/>
    </row>
    <row r="161">
      <c r="A161" s="4" t="s">
        <v>105</v>
      </c>
      <c r="B161" s="4" t="s">
        <v>105</v>
      </c>
      <c r="C161" s="4" t="s">
        <v>1140</v>
      </c>
      <c r="D161" s="4" t="s">
        <v>1042</v>
      </c>
      <c r="E161" s="4" t="s">
        <v>108</v>
      </c>
      <c r="F161" s="4" t="s">
        <v>1043</v>
      </c>
      <c r="G161" s="4" t="s">
        <v>1044</v>
      </c>
      <c r="H161" s="4" t="s">
        <v>186</v>
      </c>
      <c r="I161" s="4" t="s">
        <v>187</v>
      </c>
      <c r="J161" s="4" t="s">
        <v>1141</v>
      </c>
      <c r="K161" s="4" t="s">
        <v>728</v>
      </c>
      <c r="L161" s="4" t="s">
        <v>729</v>
      </c>
      <c r="Z161" s="2" t="s">
        <v>1149</v>
      </c>
      <c r="AA161" s="2" t="s">
        <v>115</v>
      </c>
      <c r="AB161" s="2" t="s">
        <v>116</v>
      </c>
      <c r="AC161" s="4" t="s">
        <v>117</v>
      </c>
      <c r="AD161" s="4" t="s">
        <v>118</v>
      </c>
      <c r="AE161" s="4" t="s">
        <v>773</v>
      </c>
      <c r="AF161" s="4" t="s">
        <v>117</v>
      </c>
      <c r="AG161" s="4" t="s">
        <v>118</v>
      </c>
      <c r="AI161" s="4" t="s">
        <v>312</v>
      </c>
      <c r="AJ161" s="2" t="s">
        <v>782</v>
      </c>
      <c r="AK161" s="4" t="s">
        <v>652</v>
      </c>
      <c r="AL161" s="2"/>
      <c r="AM161" s="4" t="s">
        <v>182</v>
      </c>
      <c r="AN161" s="4" t="s">
        <v>1144</v>
      </c>
      <c r="AO161" s="4" t="s">
        <v>1150</v>
      </c>
      <c r="AP161" s="4" t="str">
        <f t="array" ref="AP161">XLOOKUP(TRUE, CHOOSECOLS(A161:V161, 1, 4, 7, 10, 13, 16, 19, 22)&lt;&gt;"", CHOOSECOLS(A161:V161, 1, 4, 7, 10, 13, 16, 19, 22), "", 0, -1)</f>
        <v>Regional ventilation</v>
      </c>
      <c r="AQ161" s="2"/>
      <c r="AR161" s="2" t="s">
        <v>129</v>
      </c>
      <c r="AS161" s="4" t="s">
        <v>227</v>
      </c>
      <c r="AT161" s="4" t="s">
        <v>1146</v>
      </c>
      <c r="BF161" s="4" t="s">
        <v>1147</v>
      </c>
      <c r="BR161" s="4" t="s">
        <v>136</v>
      </c>
      <c r="BS161" s="4" t="s">
        <v>1148</v>
      </c>
      <c r="BT161" s="4">
        <v>7.0</v>
      </c>
      <c r="BU161" s="2"/>
      <c r="BV161" s="2"/>
      <c r="BW161" s="2"/>
      <c r="BX161" s="2"/>
      <c r="BY161" s="2"/>
      <c r="BZ161" s="2"/>
      <c r="CA161" s="2"/>
      <c r="CB161" s="2"/>
      <c r="CC161" s="2"/>
    </row>
    <row r="162">
      <c r="A162" s="4" t="s">
        <v>105</v>
      </c>
      <c r="B162" s="4" t="s">
        <v>105</v>
      </c>
      <c r="C162" s="4" t="s">
        <v>1140</v>
      </c>
      <c r="D162" s="4" t="s">
        <v>1042</v>
      </c>
      <c r="E162" s="4" t="s">
        <v>108</v>
      </c>
      <c r="F162" s="4" t="s">
        <v>1043</v>
      </c>
      <c r="G162" s="4" t="s">
        <v>1044</v>
      </c>
      <c r="H162" s="4" t="s">
        <v>186</v>
      </c>
      <c r="I162" s="4" t="s">
        <v>187</v>
      </c>
      <c r="J162" s="4" t="s">
        <v>1141</v>
      </c>
      <c r="K162" s="4" t="s">
        <v>728</v>
      </c>
      <c r="L162" s="4" t="s">
        <v>729</v>
      </c>
      <c r="Z162" s="2" t="s">
        <v>1151</v>
      </c>
      <c r="AA162" s="2" t="s">
        <v>115</v>
      </c>
      <c r="AB162" s="2" t="s">
        <v>116</v>
      </c>
      <c r="AC162" s="4" t="s">
        <v>117</v>
      </c>
      <c r="AD162" s="4" t="s">
        <v>118</v>
      </c>
      <c r="AE162" s="4" t="s">
        <v>773</v>
      </c>
      <c r="AF162" s="4" t="s">
        <v>117</v>
      </c>
      <c r="AG162" s="4" t="s">
        <v>118</v>
      </c>
      <c r="AI162" s="4" t="s">
        <v>357</v>
      </c>
      <c r="AJ162" s="2" t="s">
        <v>1152</v>
      </c>
      <c r="AK162" s="4" t="s">
        <v>1153</v>
      </c>
      <c r="AL162" s="2"/>
      <c r="AM162" s="4" t="s">
        <v>1065</v>
      </c>
      <c r="AN162" s="4" t="s">
        <v>1144</v>
      </c>
      <c r="AO162" s="4" t="s">
        <v>1154</v>
      </c>
      <c r="AP162" s="4" t="str">
        <f t="array" ref="AP162">XLOOKUP(TRUE, CHOOSECOLS(A162:V162, 1, 4, 7, 10, 13, 16, 19, 22)&lt;&gt;"", CHOOSECOLS(A162:V162, 1, 4, 7, 10, 13, 16, 19, 22), "", 0, -1)</f>
        <v>Regional ventilation</v>
      </c>
      <c r="AQ162" s="2"/>
      <c r="AR162" s="2" t="s">
        <v>129</v>
      </c>
      <c r="AS162" s="4" t="s">
        <v>227</v>
      </c>
      <c r="AT162" s="4" t="s">
        <v>1146</v>
      </c>
      <c r="BF162" s="4" t="s">
        <v>1147</v>
      </c>
      <c r="BR162" s="4" t="s">
        <v>136</v>
      </c>
      <c r="BS162" s="4" t="s">
        <v>1148</v>
      </c>
      <c r="BT162" s="4">
        <v>7.0</v>
      </c>
      <c r="BU162" s="2"/>
      <c r="BV162" s="2"/>
      <c r="BW162" s="2"/>
      <c r="BX162" s="2"/>
      <c r="BY162" s="2"/>
      <c r="BZ162" s="2"/>
      <c r="CA162" s="2"/>
      <c r="CB162" s="2"/>
      <c r="CC162" s="2"/>
    </row>
    <row r="163">
      <c r="A163" s="4" t="s">
        <v>105</v>
      </c>
      <c r="B163" s="4" t="s">
        <v>105</v>
      </c>
      <c r="C163" s="4" t="s">
        <v>1155</v>
      </c>
      <c r="D163" s="4" t="s">
        <v>1042</v>
      </c>
      <c r="E163" s="4" t="s">
        <v>108</v>
      </c>
      <c r="F163" s="4" t="s">
        <v>1043</v>
      </c>
      <c r="G163" s="4" t="s">
        <v>1044</v>
      </c>
      <c r="H163" s="4" t="s">
        <v>186</v>
      </c>
      <c r="I163" s="4" t="s">
        <v>187</v>
      </c>
      <c r="J163" s="4" t="s">
        <v>1156</v>
      </c>
      <c r="K163" s="4" t="s">
        <v>1157</v>
      </c>
      <c r="L163" s="4" t="s">
        <v>1158</v>
      </c>
      <c r="Z163" s="2" t="s">
        <v>1159</v>
      </c>
      <c r="AA163" s="2" t="s">
        <v>115</v>
      </c>
      <c r="AB163" s="2" t="s">
        <v>1160</v>
      </c>
      <c r="AC163" s="2" t="s">
        <v>1161</v>
      </c>
      <c r="AD163" s="2" t="s">
        <v>1162</v>
      </c>
      <c r="AE163" s="4" t="s">
        <v>1163</v>
      </c>
      <c r="AF163" s="4" t="s">
        <v>1164</v>
      </c>
      <c r="AG163" s="4" t="s">
        <v>1165</v>
      </c>
      <c r="AI163" s="4" t="s">
        <v>312</v>
      </c>
      <c r="AJ163" s="2" t="s">
        <v>1166</v>
      </c>
      <c r="AK163" s="4" t="s">
        <v>1167</v>
      </c>
      <c r="AL163" s="2"/>
      <c r="AM163" s="4" t="s">
        <v>1065</v>
      </c>
      <c r="AN163" s="4" t="s">
        <v>1168</v>
      </c>
      <c r="AO163" s="4" t="s">
        <v>1169</v>
      </c>
      <c r="AP163" s="4" t="str">
        <f t="array" ref="AP163">XLOOKUP(TRUE, CHOOSECOLS(A163:V163, 1, 4, 7, 10, 13, 16, 19, 22)&lt;&gt;"", CHOOSECOLS(A163:V163, 1, 4, 7, 10, 13, 16, 19, 22), "", 0, -1)</f>
        <v>Airway closure</v>
      </c>
      <c r="AQ163" s="2"/>
      <c r="AR163" s="2" t="s">
        <v>129</v>
      </c>
      <c r="AS163" s="4" t="s">
        <v>227</v>
      </c>
      <c r="AT163" s="4" t="s">
        <v>1170</v>
      </c>
      <c r="AW163" s="4" t="s">
        <v>1171</v>
      </c>
      <c r="AX163" s="4" t="s">
        <v>1172</v>
      </c>
      <c r="AY163" s="4" t="s">
        <v>1173</v>
      </c>
      <c r="BF163" s="2" t="s">
        <v>1174</v>
      </c>
      <c r="BR163" s="4" t="s">
        <v>136</v>
      </c>
      <c r="BS163" s="4" t="s">
        <v>1175</v>
      </c>
      <c r="BT163" s="4">
        <v>7.0</v>
      </c>
      <c r="BU163" s="2"/>
      <c r="BV163" s="2"/>
      <c r="BW163" s="2"/>
      <c r="BX163" s="2"/>
      <c r="BY163" s="2"/>
      <c r="BZ163" s="2"/>
      <c r="CA163" s="2"/>
      <c r="CB163" s="2"/>
      <c r="CC163" s="2"/>
    </row>
    <row r="164">
      <c r="A164" s="4" t="s">
        <v>105</v>
      </c>
      <c r="B164" s="4" t="s">
        <v>105</v>
      </c>
      <c r="C164" s="4" t="s">
        <v>1155</v>
      </c>
      <c r="D164" s="4" t="s">
        <v>1042</v>
      </c>
      <c r="E164" s="4" t="s">
        <v>108</v>
      </c>
      <c r="F164" s="4" t="s">
        <v>1043</v>
      </c>
      <c r="G164" s="4" t="s">
        <v>1044</v>
      </c>
      <c r="H164" s="4" t="s">
        <v>186</v>
      </c>
      <c r="I164" s="4" t="s">
        <v>187</v>
      </c>
      <c r="J164" s="4" t="s">
        <v>1156</v>
      </c>
      <c r="K164" s="4" t="s">
        <v>1157</v>
      </c>
      <c r="L164" s="4" t="s">
        <v>1158</v>
      </c>
      <c r="Z164" s="2" t="s">
        <v>1176</v>
      </c>
      <c r="AA164" s="2" t="s">
        <v>115</v>
      </c>
      <c r="AB164" s="2" t="s">
        <v>1160</v>
      </c>
      <c r="AC164" s="2" t="s">
        <v>1161</v>
      </c>
      <c r="AD164" s="2" t="s">
        <v>1162</v>
      </c>
      <c r="AE164" s="4" t="s">
        <v>1163</v>
      </c>
      <c r="AF164" s="4" t="s">
        <v>1164</v>
      </c>
      <c r="AG164" s="4" t="s">
        <v>1165</v>
      </c>
      <c r="AI164" s="4" t="s">
        <v>312</v>
      </c>
      <c r="AJ164" s="2" t="s">
        <v>1177</v>
      </c>
      <c r="AK164" s="4" t="s">
        <v>1178</v>
      </c>
      <c r="AL164" s="2"/>
      <c r="AM164" s="4" t="s">
        <v>1065</v>
      </c>
      <c r="AN164" s="4" t="s">
        <v>1168</v>
      </c>
      <c r="AO164" s="4" t="s">
        <v>1179</v>
      </c>
      <c r="AP164" s="4" t="str">
        <f t="array" ref="AP164">XLOOKUP(TRUE, CHOOSECOLS(A164:V164, 1, 4, 7, 10, 13, 16, 19, 22)&lt;&gt;"", CHOOSECOLS(A164:V164, 1, 4, 7, 10, 13, 16, 19, 22), "", 0, -1)</f>
        <v>Airway closure</v>
      </c>
      <c r="AQ164" s="2"/>
      <c r="AR164" s="2" t="s">
        <v>129</v>
      </c>
      <c r="AS164" s="4" t="s">
        <v>227</v>
      </c>
      <c r="AT164" s="4" t="s">
        <v>1170</v>
      </c>
      <c r="AW164" s="4" t="s">
        <v>1171</v>
      </c>
      <c r="AX164" s="4" t="s">
        <v>1172</v>
      </c>
      <c r="AY164" s="4" t="s">
        <v>1173</v>
      </c>
      <c r="BF164" s="4" t="s">
        <v>1174</v>
      </c>
      <c r="BR164" s="4" t="s">
        <v>136</v>
      </c>
      <c r="BS164" s="4" t="s">
        <v>1175</v>
      </c>
      <c r="BT164" s="4">
        <v>7.0</v>
      </c>
      <c r="BU164" s="2"/>
      <c r="BV164" s="2"/>
      <c r="BW164" s="2"/>
      <c r="BX164" s="2"/>
      <c r="BY164" s="2"/>
      <c r="BZ164" s="2"/>
      <c r="CA164" s="2"/>
      <c r="CB164" s="2"/>
      <c r="CC164" s="2"/>
    </row>
    <row r="165">
      <c r="A165" s="4" t="s">
        <v>105</v>
      </c>
      <c r="B165" s="4" t="s">
        <v>105</v>
      </c>
      <c r="C165" s="4" t="s">
        <v>1155</v>
      </c>
      <c r="D165" s="4" t="s">
        <v>1042</v>
      </c>
      <c r="E165" s="4" t="s">
        <v>108</v>
      </c>
      <c r="F165" s="4" t="s">
        <v>1043</v>
      </c>
      <c r="G165" s="4" t="s">
        <v>1044</v>
      </c>
      <c r="H165" s="4" t="s">
        <v>186</v>
      </c>
      <c r="I165" s="4" t="s">
        <v>187</v>
      </c>
      <c r="J165" s="4" t="s">
        <v>1156</v>
      </c>
      <c r="K165" s="4" t="s">
        <v>1157</v>
      </c>
      <c r="L165" s="4" t="s">
        <v>1158</v>
      </c>
      <c r="Z165" s="2" t="s">
        <v>1180</v>
      </c>
      <c r="AA165" s="2" t="s">
        <v>115</v>
      </c>
      <c r="AB165" s="2" t="s">
        <v>1160</v>
      </c>
      <c r="AC165" s="2" t="s">
        <v>1161</v>
      </c>
      <c r="AD165" s="2" t="s">
        <v>1162</v>
      </c>
      <c r="AE165" s="4" t="s">
        <v>1163</v>
      </c>
      <c r="AF165" s="4" t="s">
        <v>1164</v>
      </c>
      <c r="AG165" s="4" t="s">
        <v>1165</v>
      </c>
      <c r="AI165" s="2" t="s">
        <v>122</v>
      </c>
      <c r="AJ165" s="2" t="s">
        <v>1181</v>
      </c>
      <c r="AK165" s="2" t="s">
        <v>1182</v>
      </c>
      <c r="AL165" s="2" t="s">
        <v>1183</v>
      </c>
      <c r="AM165" s="4" t="s">
        <v>1065</v>
      </c>
      <c r="AN165" s="4" t="s">
        <v>1168</v>
      </c>
      <c r="AO165" s="4" t="s">
        <v>1184</v>
      </c>
      <c r="AP165" s="4" t="str">
        <f t="array" ref="AP165">XLOOKUP(TRUE, CHOOSECOLS(A165:V165, 1, 4, 7, 10, 13, 16, 19, 22)&lt;&gt;"", CHOOSECOLS(A165:V165, 1, 4, 7, 10, 13, 16, 19, 22), "", 0, -1)</f>
        <v>Airway closure</v>
      </c>
      <c r="AQ165" s="2"/>
      <c r="AR165" s="2" t="s">
        <v>129</v>
      </c>
      <c r="AS165" s="4" t="s">
        <v>227</v>
      </c>
      <c r="AT165" s="4" t="s">
        <v>1170</v>
      </c>
      <c r="AW165" s="4" t="s">
        <v>1171</v>
      </c>
      <c r="AX165" s="4" t="s">
        <v>1172</v>
      </c>
      <c r="AY165" s="4" t="s">
        <v>1173</v>
      </c>
      <c r="BF165" s="4" t="s">
        <v>1174</v>
      </c>
      <c r="BR165" s="4" t="s">
        <v>136</v>
      </c>
      <c r="BS165" s="4" t="s">
        <v>1175</v>
      </c>
      <c r="BT165" s="4">
        <v>7.0</v>
      </c>
      <c r="BU165" s="2"/>
      <c r="BV165" s="2"/>
      <c r="BW165" s="2"/>
      <c r="BX165" s="2"/>
      <c r="BY165" s="2"/>
      <c r="BZ165" s="2"/>
      <c r="CA165" s="2"/>
      <c r="CB165" s="2"/>
      <c r="CC165" s="2"/>
    </row>
    <row r="166">
      <c r="A166" s="4" t="s">
        <v>105</v>
      </c>
      <c r="B166" s="4" t="s">
        <v>105</v>
      </c>
      <c r="C166" s="4" t="s">
        <v>1185</v>
      </c>
      <c r="D166" s="4" t="s">
        <v>1042</v>
      </c>
      <c r="E166" s="4" t="s">
        <v>108</v>
      </c>
      <c r="F166" s="4" t="s">
        <v>1043</v>
      </c>
      <c r="G166" s="4" t="s">
        <v>1044</v>
      </c>
      <c r="H166" s="4" t="s">
        <v>186</v>
      </c>
      <c r="I166" s="4" t="s">
        <v>187</v>
      </c>
      <c r="J166" s="4" t="s">
        <v>1186</v>
      </c>
      <c r="K166" s="4" t="s">
        <v>1187</v>
      </c>
      <c r="L166" s="4" t="s">
        <v>1188</v>
      </c>
      <c r="Z166" s="2" t="s">
        <v>1189</v>
      </c>
      <c r="AA166" s="2" t="s">
        <v>115</v>
      </c>
      <c r="AB166" s="2" t="s">
        <v>1190</v>
      </c>
      <c r="AC166" s="4" t="s">
        <v>1191</v>
      </c>
      <c r="AD166" s="4" t="s">
        <v>1192</v>
      </c>
      <c r="AE166" s="4" t="s">
        <v>1190</v>
      </c>
      <c r="AF166" s="4" t="s">
        <v>1191</v>
      </c>
      <c r="AG166" s="4" t="s">
        <v>1192</v>
      </c>
      <c r="AI166" s="4" t="s">
        <v>122</v>
      </c>
      <c r="AJ166" s="2" t="s">
        <v>394</v>
      </c>
      <c r="AK166" s="4" t="s">
        <v>1193</v>
      </c>
      <c r="AL166" s="2"/>
      <c r="AM166" s="4" t="s">
        <v>1054</v>
      </c>
      <c r="AN166" s="4" t="s">
        <v>1194</v>
      </c>
      <c r="AO166" s="4" t="s">
        <v>1195</v>
      </c>
      <c r="AP166" s="4" t="str">
        <f t="array" ref="AP166">XLOOKUP(TRUE, CHOOSECOLS(A166:V166, 1, 4, 7, 10, 13, 16, 19, 22)&lt;&gt;"", CHOOSECOLS(A166:V166, 1, 4, 7, 10, 13, 16, 19, 22), "", 0, -1)</f>
        <v>Chest wall elasticity</v>
      </c>
      <c r="AQ166" s="2"/>
      <c r="AR166" s="2" t="s">
        <v>129</v>
      </c>
      <c r="AS166" s="4" t="s">
        <v>130</v>
      </c>
      <c r="AT166" s="4" t="s">
        <v>1196</v>
      </c>
      <c r="BF166" s="4" t="s">
        <v>1197</v>
      </c>
      <c r="BR166" s="4" t="s">
        <v>136</v>
      </c>
      <c r="BS166" s="4" t="s">
        <v>1198</v>
      </c>
      <c r="BT166" s="4">
        <v>7.0</v>
      </c>
      <c r="BU166" s="2"/>
      <c r="BV166" s="2"/>
      <c r="BW166" s="2"/>
      <c r="BX166" s="2"/>
      <c r="BY166" s="2"/>
      <c r="BZ166" s="2"/>
      <c r="CA166" s="2"/>
      <c r="CB166" s="2"/>
      <c r="CC166" s="2"/>
    </row>
    <row r="167">
      <c r="A167" s="4" t="s">
        <v>105</v>
      </c>
      <c r="B167" s="4" t="s">
        <v>105</v>
      </c>
      <c r="C167" s="4" t="s">
        <v>1185</v>
      </c>
      <c r="D167" s="4" t="s">
        <v>1042</v>
      </c>
      <c r="E167" s="4" t="s">
        <v>108</v>
      </c>
      <c r="F167" s="4" t="s">
        <v>1043</v>
      </c>
      <c r="G167" s="4" t="s">
        <v>1044</v>
      </c>
      <c r="H167" s="4" t="s">
        <v>186</v>
      </c>
      <c r="I167" s="4" t="s">
        <v>187</v>
      </c>
      <c r="J167" s="4" t="s">
        <v>1186</v>
      </c>
      <c r="K167" s="4" t="s">
        <v>1187</v>
      </c>
      <c r="L167" s="4" t="s">
        <v>1188</v>
      </c>
      <c r="Z167" s="2" t="s">
        <v>1199</v>
      </c>
      <c r="AA167" s="2" t="s">
        <v>115</v>
      </c>
      <c r="AB167" s="2" t="s">
        <v>1190</v>
      </c>
      <c r="AC167" s="4" t="s">
        <v>1191</v>
      </c>
      <c r="AD167" s="4" t="s">
        <v>1192</v>
      </c>
      <c r="AE167" s="4" t="s">
        <v>1190</v>
      </c>
      <c r="AF167" s="4" t="s">
        <v>1191</v>
      </c>
      <c r="AG167" s="4" t="s">
        <v>1192</v>
      </c>
      <c r="AI167" s="4" t="s">
        <v>122</v>
      </c>
      <c r="AJ167" s="2" t="s">
        <v>140</v>
      </c>
      <c r="AK167" s="4" t="s">
        <v>1183</v>
      </c>
      <c r="AL167" s="4" t="s">
        <v>1200</v>
      </c>
      <c r="AM167" s="4" t="s">
        <v>1065</v>
      </c>
      <c r="AN167" s="4" t="s">
        <v>1194</v>
      </c>
      <c r="AO167" s="4" t="s">
        <v>1201</v>
      </c>
      <c r="AP167" s="4" t="str">
        <f t="array" ref="AP167">XLOOKUP(TRUE, CHOOSECOLS(A167:V167, 1, 4, 7, 10, 13, 16, 19, 22)&lt;&gt;"", CHOOSECOLS(A167:V167, 1, 4, 7, 10, 13, 16, 19, 22), "", 0, -1)</f>
        <v>Chest wall elasticity</v>
      </c>
      <c r="AQ167" s="2"/>
      <c r="AR167" s="2" t="s">
        <v>129</v>
      </c>
      <c r="AS167" s="4" t="s">
        <v>130</v>
      </c>
      <c r="AT167" s="4" t="s">
        <v>1196</v>
      </c>
      <c r="BF167" s="4" t="s">
        <v>1197</v>
      </c>
      <c r="BR167" s="4" t="s">
        <v>136</v>
      </c>
      <c r="BS167" s="4" t="s">
        <v>1198</v>
      </c>
      <c r="BT167" s="4">
        <v>7.0</v>
      </c>
      <c r="BU167" s="2"/>
      <c r="BV167" s="2"/>
      <c r="BW167" s="2"/>
      <c r="BX167" s="2"/>
      <c r="BY167" s="2"/>
      <c r="BZ167" s="2"/>
      <c r="CA167" s="2"/>
      <c r="CB167" s="2"/>
      <c r="CC167" s="2"/>
    </row>
    <row r="168">
      <c r="A168" s="4" t="s">
        <v>105</v>
      </c>
      <c r="B168" s="4" t="s">
        <v>105</v>
      </c>
      <c r="C168" s="4" t="s">
        <v>1185</v>
      </c>
      <c r="D168" s="4" t="s">
        <v>1042</v>
      </c>
      <c r="E168" s="4" t="s">
        <v>108</v>
      </c>
      <c r="F168" s="4" t="s">
        <v>1043</v>
      </c>
      <c r="G168" s="4" t="s">
        <v>1044</v>
      </c>
      <c r="H168" s="4" t="s">
        <v>186</v>
      </c>
      <c r="I168" s="4" t="s">
        <v>187</v>
      </c>
      <c r="J168" s="4" t="s">
        <v>1186</v>
      </c>
      <c r="K168" s="4" t="s">
        <v>1187</v>
      </c>
      <c r="L168" s="4" t="s">
        <v>1188</v>
      </c>
      <c r="Z168" s="2" t="s">
        <v>1202</v>
      </c>
      <c r="AA168" s="2" t="s">
        <v>115</v>
      </c>
      <c r="AB168" s="2" t="s">
        <v>1190</v>
      </c>
      <c r="AC168" s="4" t="s">
        <v>1191</v>
      </c>
      <c r="AD168" s="4" t="s">
        <v>1192</v>
      </c>
      <c r="AE168" s="4" t="s">
        <v>1190</v>
      </c>
      <c r="AF168" s="4" t="s">
        <v>1191</v>
      </c>
      <c r="AG168" s="4" t="s">
        <v>1192</v>
      </c>
      <c r="AI168" s="4" t="s">
        <v>122</v>
      </c>
      <c r="AJ168" s="2" t="s">
        <v>140</v>
      </c>
      <c r="AK168" s="4" t="s">
        <v>1203</v>
      </c>
      <c r="AL168" s="4" t="s">
        <v>1204</v>
      </c>
      <c r="AM168" s="4" t="s">
        <v>1099</v>
      </c>
      <c r="AN168" s="4" t="s">
        <v>1194</v>
      </c>
      <c r="AO168" s="4" t="s">
        <v>1205</v>
      </c>
      <c r="AP168" s="4" t="str">
        <f t="array" ref="AP168">XLOOKUP(TRUE, CHOOSECOLS(A168:V168, 1, 4, 7, 10, 13, 16, 19, 22)&lt;&gt;"", CHOOSECOLS(A168:V168, 1, 4, 7, 10, 13, 16, 19, 22), "", 0, -1)</f>
        <v>Chest wall elasticity</v>
      </c>
      <c r="AQ168" s="2"/>
      <c r="AR168" s="2" t="s">
        <v>129</v>
      </c>
      <c r="AS168" s="4" t="s">
        <v>130</v>
      </c>
      <c r="AT168" s="4" t="s">
        <v>1196</v>
      </c>
      <c r="BF168" s="4" t="s">
        <v>1197</v>
      </c>
      <c r="BR168" s="4" t="s">
        <v>136</v>
      </c>
      <c r="BS168" s="4" t="s">
        <v>1198</v>
      </c>
      <c r="BT168" s="4">
        <v>7.0</v>
      </c>
      <c r="BU168" s="2"/>
      <c r="BV168" s="2"/>
      <c r="BW168" s="2"/>
      <c r="BX168" s="2"/>
      <c r="BY168" s="2"/>
      <c r="BZ168" s="2"/>
      <c r="CA168" s="2"/>
      <c r="CB168" s="2"/>
      <c r="CC168" s="2"/>
    </row>
    <row r="169">
      <c r="A169" s="2" t="s">
        <v>105</v>
      </c>
      <c r="B169" s="2" t="s">
        <v>105</v>
      </c>
      <c r="C169" s="2" t="s">
        <v>1206</v>
      </c>
      <c r="D169" s="2" t="s">
        <v>1042</v>
      </c>
      <c r="E169" s="2" t="s">
        <v>108</v>
      </c>
      <c r="F169" s="2" t="s">
        <v>1043</v>
      </c>
      <c r="G169" s="2" t="s">
        <v>1207</v>
      </c>
      <c r="H169" s="2" t="s">
        <v>1208</v>
      </c>
      <c r="I169" s="2" t="s">
        <v>1209</v>
      </c>
      <c r="J169" s="2" t="s">
        <v>1210</v>
      </c>
      <c r="K169" s="2" t="s">
        <v>1211</v>
      </c>
      <c r="L169" s="2" t="s">
        <v>1212</v>
      </c>
      <c r="M169" s="2"/>
      <c r="N169" s="2"/>
      <c r="O169" s="2"/>
      <c r="P169" s="2"/>
      <c r="Q169" s="2"/>
      <c r="R169" s="2"/>
      <c r="S169" s="2"/>
      <c r="T169" s="2"/>
      <c r="U169" s="2"/>
      <c r="V169" s="2"/>
      <c r="W169" s="2"/>
      <c r="X169" s="2"/>
      <c r="Y169" s="2"/>
      <c r="Z169" s="2" t="s">
        <v>1213</v>
      </c>
      <c r="AA169" s="2" t="s">
        <v>195</v>
      </c>
      <c r="AB169" s="2" t="s">
        <v>1214</v>
      </c>
      <c r="AC169" s="2" t="s">
        <v>1215</v>
      </c>
      <c r="AD169" s="2" t="s">
        <v>1216</v>
      </c>
      <c r="AE169" s="2" t="s">
        <v>1217</v>
      </c>
      <c r="AF169" s="2" t="s">
        <v>1161</v>
      </c>
      <c r="AG169" s="2" t="s">
        <v>1162</v>
      </c>
      <c r="AH169" s="2"/>
      <c r="AI169" s="2" t="s">
        <v>122</v>
      </c>
      <c r="AJ169" s="2" t="s">
        <v>140</v>
      </c>
      <c r="AK169" s="2" t="s">
        <v>1218</v>
      </c>
      <c r="AL169" s="2" t="s">
        <v>1219</v>
      </c>
      <c r="AM169" s="2" t="s">
        <v>1220</v>
      </c>
      <c r="AN169" s="2" t="s">
        <v>1221</v>
      </c>
      <c r="AO169" s="2" t="s">
        <v>1222</v>
      </c>
      <c r="AP169" s="2" t="str">
        <f t="array" ref="AP169">XLOOKUP(TRUE, CHOOSECOLS(A169:V169, 1, 4, 7, 10, 13, 16, 19, 22)&lt;&gt;"", CHOOSECOLS(A169:V169, 1, 4, 7, 10, 13, 16, 19, 22), "", 0, -1)</f>
        <v>Airway resistance</v>
      </c>
      <c r="AQ169" s="2"/>
      <c r="AR169" s="2" t="s">
        <v>201</v>
      </c>
      <c r="AS169" s="2" t="s">
        <v>227</v>
      </c>
      <c r="AT169" s="2" t="s">
        <v>1223</v>
      </c>
      <c r="AU169" s="2" t="s">
        <v>1210</v>
      </c>
      <c r="AV169" s="2" t="s">
        <v>1224</v>
      </c>
      <c r="AW169" s="2"/>
      <c r="AX169" s="2"/>
      <c r="AY169" s="2"/>
      <c r="AZ169" s="2"/>
      <c r="BA169" s="2"/>
      <c r="BB169" s="2"/>
      <c r="BC169" s="2"/>
      <c r="BD169" s="2"/>
      <c r="BE169" s="2"/>
      <c r="BF169" s="2" t="s">
        <v>1225</v>
      </c>
      <c r="BG169" s="2"/>
      <c r="BH169" s="2"/>
      <c r="BI169" s="2" t="s">
        <v>1226</v>
      </c>
      <c r="BJ169" s="2"/>
      <c r="BK169" s="2"/>
      <c r="BL169" s="2"/>
      <c r="BM169" s="2"/>
      <c r="BN169" s="2"/>
      <c r="BO169" s="2"/>
      <c r="BP169" s="2"/>
      <c r="BQ169" s="2"/>
      <c r="BR169" s="2" t="s">
        <v>136</v>
      </c>
      <c r="BS169" s="2" t="s">
        <v>1227</v>
      </c>
      <c r="BT169" s="2">
        <v>7.0</v>
      </c>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row>
    <row r="170">
      <c r="A170" s="2" t="s">
        <v>105</v>
      </c>
      <c r="B170" s="2" t="s">
        <v>105</v>
      </c>
      <c r="C170" s="2" t="s">
        <v>1206</v>
      </c>
      <c r="D170" s="2" t="s">
        <v>1042</v>
      </c>
      <c r="E170" s="2" t="s">
        <v>108</v>
      </c>
      <c r="F170" s="2" t="s">
        <v>1043</v>
      </c>
      <c r="G170" s="2" t="s">
        <v>1207</v>
      </c>
      <c r="H170" s="2" t="s">
        <v>1208</v>
      </c>
      <c r="I170" s="2" t="s">
        <v>1209</v>
      </c>
      <c r="J170" s="2" t="s">
        <v>1210</v>
      </c>
      <c r="K170" s="2" t="s">
        <v>1211</v>
      </c>
      <c r="L170" s="2" t="s">
        <v>1212</v>
      </c>
      <c r="M170" s="2"/>
      <c r="N170" s="2"/>
      <c r="O170" s="2"/>
      <c r="P170" s="2"/>
      <c r="Q170" s="2"/>
      <c r="R170" s="2"/>
      <c r="S170" s="2"/>
      <c r="T170" s="2"/>
      <c r="U170" s="2"/>
      <c r="V170" s="2"/>
      <c r="W170" s="2"/>
      <c r="X170" s="2"/>
      <c r="Y170" s="2"/>
      <c r="Z170" s="2" t="s">
        <v>1228</v>
      </c>
      <c r="AA170" s="2" t="s">
        <v>195</v>
      </c>
      <c r="AB170" s="2" t="s">
        <v>1214</v>
      </c>
      <c r="AC170" s="2" t="s">
        <v>1215</v>
      </c>
      <c r="AD170" s="2" t="s">
        <v>1216</v>
      </c>
      <c r="AE170" s="2" t="s">
        <v>1217</v>
      </c>
      <c r="AF170" s="2" t="s">
        <v>1161</v>
      </c>
      <c r="AG170" s="2" t="s">
        <v>1162</v>
      </c>
      <c r="AH170" s="2"/>
      <c r="AI170" s="2" t="s">
        <v>122</v>
      </c>
      <c r="AJ170" s="2" t="s">
        <v>891</v>
      </c>
      <c r="AK170" s="2" t="s">
        <v>1229</v>
      </c>
      <c r="AL170" s="2"/>
      <c r="AM170" s="2"/>
      <c r="AN170" s="2" t="s">
        <v>1221</v>
      </c>
      <c r="AO170" s="2" t="s">
        <v>1230</v>
      </c>
      <c r="AP170" s="2" t="str">
        <f t="array" ref="AP170">XLOOKUP(TRUE, CHOOSECOLS(A170:V170, 1, 4, 7, 10, 13, 16, 19, 22)&lt;&gt;"", CHOOSECOLS(A170:V170, 1, 4, 7, 10, 13, 16, 19, 22), "", 0, -1)</f>
        <v>Airway resistance</v>
      </c>
      <c r="AQ170" s="2"/>
      <c r="AR170" s="2" t="s">
        <v>201</v>
      </c>
      <c r="AS170" s="2" t="s">
        <v>227</v>
      </c>
      <c r="AT170" s="2" t="s">
        <v>1223</v>
      </c>
      <c r="AU170" s="2" t="s">
        <v>1210</v>
      </c>
      <c r="AV170" s="2" t="s">
        <v>1224</v>
      </c>
      <c r="AW170" s="2"/>
      <c r="AX170" s="2"/>
      <c r="AY170" s="2"/>
      <c r="AZ170" s="2"/>
      <c r="BA170" s="2"/>
      <c r="BB170" s="2"/>
      <c r="BC170" s="2"/>
      <c r="BD170" s="2"/>
      <c r="BE170" s="2"/>
      <c r="BF170" s="2" t="s">
        <v>1225</v>
      </c>
      <c r="BG170" s="2"/>
      <c r="BH170" s="2"/>
      <c r="BI170" s="2" t="s">
        <v>1226</v>
      </c>
      <c r="BJ170" s="2"/>
      <c r="BK170" s="2"/>
      <c r="BL170" s="2"/>
      <c r="BM170" s="2"/>
      <c r="BN170" s="2"/>
      <c r="BO170" s="2"/>
      <c r="BP170" s="2"/>
      <c r="BQ170" s="2"/>
      <c r="BR170" s="2" t="s">
        <v>136</v>
      </c>
      <c r="BS170" s="2" t="s">
        <v>1227</v>
      </c>
      <c r="BT170" s="2">
        <v>7.0</v>
      </c>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row>
    <row r="171">
      <c r="A171" s="2" t="s">
        <v>105</v>
      </c>
      <c r="B171" s="2" t="s">
        <v>105</v>
      </c>
      <c r="C171" s="2" t="s">
        <v>1206</v>
      </c>
      <c r="D171" s="2" t="s">
        <v>1042</v>
      </c>
      <c r="E171" s="2" t="s">
        <v>108</v>
      </c>
      <c r="F171" s="2" t="s">
        <v>1043</v>
      </c>
      <c r="G171" s="2" t="s">
        <v>1207</v>
      </c>
      <c r="H171" s="2" t="s">
        <v>1208</v>
      </c>
      <c r="I171" s="2" t="s">
        <v>1209</v>
      </c>
      <c r="J171" s="2" t="s">
        <v>1210</v>
      </c>
      <c r="K171" s="2" t="s">
        <v>1211</v>
      </c>
      <c r="L171" s="2" t="s">
        <v>1212</v>
      </c>
      <c r="M171" s="2"/>
      <c r="N171" s="2"/>
      <c r="O171" s="2"/>
      <c r="P171" s="2"/>
      <c r="Q171" s="2"/>
      <c r="R171" s="2"/>
      <c r="S171" s="2"/>
      <c r="T171" s="2"/>
      <c r="U171" s="2"/>
      <c r="V171" s="2"/>
      <c r="W171" s="2"/>
      <c r="X171" s="2"/>
      <c r="Y171" s="2"/>
      <c r="Z171" s="2" t="s">
        <v>1231</v>
      </c>
      <c r="AA171" s="2" t="s">
        <v>195</v>
      </c>
      <c r="AB171" s="2" t="s">
        <v>1214</v>
      </c>
      <c r="AC171" s="2" t="s">
        <v>1215</v>
      </c>
      <c r="AD171" s="2" t="s">
        <v>1216</v>
      </c>
      <c r="AE171" s="2" t="s">
        <v>1217</v>
      </c>
      <c r="AF171" s="2" t="s">
        <v>1161</v>
      </c>
      <c r="AG171" s="2" t="s">
        <v>1162</v>
      </c>
      <c r="AH171" s="2"/>
      <c r="AI171" s="2" t="s">
        <v>122</v>
      </c>
      <c r="AJ171" s="2" t="s">
        <v>891</v>
      </c>
      <c r="AK171" s="2" t="s">
        <v>1232</v>
      </c>
      <c r="AL171" s="2"/>
      <c r="AM171" s="2"/>
      <c r="AN171" s="2" t="s">
        <v>1221</v>
      </c>
      <c r="AO171" s="2" t="s">
        <v>1233</v>
      </c>
      <c r="AP171" s="2" t="str">
        <f t="array" ref="AP171">XLOOKUP(TRUE, CHOOSECOLS(A171:V171, 1, 4, 7, 10, 13, 16, 19, 22)&lt;&gt;"", CHOOSECOLS(A171:V171, 1, 4, 7, 10, 13, 16, 19, 22), "", 0, -1)</f>
        <v>Airway resistance</v>
      </c>
      <c r="AQ171" s="2"/>
      <c r="AR171" s="2" t="s">
        <v>201</v>
      </c>
      <c r="AS171" s="2" t="s">
        <v>227</v>
      </c>
      <c r="AT171" s="2" t="s">
        <v>1223</v>
      </c>
      <c r="AU171" s="2" t="s">
        <v>1210</v>
      </c>
      <c r="AV171" s="2" t="s">
        <v>1224</v>
      </c>
      <c r="AW171" s="2"/>
      <c r="AX171" s="2"/>
      <c r="AY171" s="2"/>
      <c r="AZ171" s="2"/>
      <c r="BA171" s="2"/>
      <c r="BB171" s="2"/>
      <c r="BC171" s="2"/>
      <c r="BD171" s="2"/>
      <c r="BE171" s="2"/>
      <c r="BF171" s="2" t="s">
        <v>1225</v>
      </c>
      <c r="BG171" s="2"/>
      <c r="BH171" s="2"/>
      <c r="BI171" s="2" t="s">
        <v>1226</v>
      </c>
      <c r="BJ171" s="2"/>
      <c r="BK171" s="2"/>
      <c r="BL171" s="2"/>
      <c r="BM171" s="2"/>
      <c r="BN171" s="2"/>
      <c r="BO171" s="2"/>
      <c r="BP171" s="2"/>
      <c r="BQ171" s="2"/>
      <c r="BR171" s="2" t="s">
        <v>136</v>
      </c>
      <c r="BS171" s="2" t="s">
        <v>1227</v>
      </c>
      <c r="BT171" s="2">
        <v>7.0</v>
      </c>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row>
    <row r="172">
      <c r="A172" s="2" t="s">
        <v>105</v>
      </c>
      <c r="B172" s="2" t="s">
        <v>105</v>
      </c>
      <c r="C172" s="2" t="s">
        <v>1234</v>
      </c>
      <c r="D172" s="2" t="s">
        <v>1042</v>
      </c>
      <c r="E172" s="2" t="s">
        <v>108</v>
      </c>
      <c r="F172" s="2" t="s">
        <v>1043</v>
      </c>
      <c r="G172" s="2" t="s">
        <v>1207</v>
      </c>
      <c r="H172" s="2" t="s">
        <v>1208</v>
      </c>
      <c r="I172" s="2" t="s">
        <v>1209</v>
      </c>
      <c r="J172" s="2" t="s">
        <v>1235</v>
      </c>
      <c r="K172" s="2"/>
      <c r="L172" s="2"/>
      <c r="M172" s="2"/>
      <c r="N172" s="2"/>
      <c r="O172" s="2"/>
      <c r="P172" s="2"/>
      <c r="Q172" s="2"/>
      <c r="R172" s="2"/>
      <c r="S172" s="2"/>
      <c r="T172" s="2"/>
      <c r="U172" s="2"/>
      <c r="V172" s="2"/>
      <c r="W172" s="2"/>
      <c r="X172" s="2"/>
      <c r="Y172" s="2"/>
      <c r="Z172" s="2" t="s">
        <v>1236</v>
      </c>
      <c r="AA172" s="2" t="s">
        <v>195</v>
      </c>
      <c r="AB172" s="2" t="s">
        <v>1214</v>
      </c>
      <c r="AC172" s="2" t="s">
        <v>1215</v>
      </c>
      <c r="AD172" s="2" t="s">
        <v>1216</v>
      </c>
      <c r="AE172" s="2" t="s">
        <v>1237</v>
      </c>
      <c r="AF172" s="2" t="s">
        <v>1238</v>
      </c>
      <c r="AG172" s="2" t="s">
        <v>1239</v>
      </c>
      <c r="AH172" s="2"/>
      <c r="AI172" s="2" t="s">
        <v>357</v>
      </c>
      <c r="AJ172" s="2" t="s">
        <v>1240</v>
      </c>
      <c r="AK172" s="2" t="s">
        <v>1241</v>
      </c>
      <c r="AL172" s="2"/>
      <c r="AM172" s="2"/>
      <c r="AN172" s="2" t="s">
        <v>1242</v>
      </c>
      <c r="AO172" s="2" t="s">
        <v>1243</v>
      </c>
      <c r="AP172" s="2" t="str">
        <f t="array" ref="AP172">XLOOKUP(TRUE, CHOOSECOLS(A172:V172, 1, 4, 7, 10, 13, 16, 19, 22)&lt;&gt;"", CHOOSECOLS(A172:V172, 1, 4, 7, 10, 13, 16, 19, 22), "", 0, -1)</f>
        <v>Dynamic compression</v>
      </c>
      <c r="AQ172" s="2"/>
      <c r="AR172" s="2" t="s">
        <v>201</v>
      </c>
      <c r="AS172" s="2" t="s">
        <v>227</v>
      </c>
      <c r="AT172" s="2" t="s">
        <v>1244</v>
      </c>
      <c r="AU172" s="2"/>
      <c r="AV172" s="2"/>
      <c r="AW172" s="2"/>
      <c r="AX172" s="2"/>
      <c r="AY172" s="2"/>
      <c r="AZ172" s="2"/>
      <c r="BA172" s="2"/>
      <c r="BB172" s="2"/>
      <c r="BC172" s="2"/>
      <c r="BD172" s="2"/>
      <c r="BE172" s="2"/>
      <c r="BF172" s="2" t="s">
        <v>1245</v>
      </c>
      <c r="BG172" s="2"/>
      <c r="BH172" s="2"/>
      <c r="BI172" s="2"/>
      <c r="BJ172" s="2"/>
      <c r="BK172" s="2"/>
      <c r="BL172" s="2"/>
      <c r="BM172" s="2"/>
      <c r="BN172" s="2"/>
      <c r="BO172" s="2"/>
      <c r="BP172" s="2"/>
      <c r="BQ172" s="2"/>
      <c r="BR172" s="2" t="s">
        <v>136</v>
      </c>
      <c r="BS172" s="2" t="s">
        <v>1246</v>
      </c>
      <c r="BT172" s="2">
        <v>7.0</v>
      </c>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row>
    <row r="173">
      <c r="A173" s="2" t="s">
        <v>105</v>
      </c>
      <c r="B173" s="2" t="s">
        <v>105</v>
      </c>
      <c r="C173" s="2" t="s">
        <v>1234</v>
      </c>
      <c r="D173" s="2" t="s">
        <v>1042</v>
      </c>
      <c r="E173" s="2" t="s">
        <v>108</v>
      </c>
      <c r="F173" s="2" t="s">
        <v>1043</v>
      </c>
      <c r="G173" s="2" t="s">
        <v>1207</v>
      </c>
      <c r="H173" s="2" t="s">
        <v>1208</v>
      </c>
      <c r="I173" s="2" t="s">
        <v>1209</v>
      </c>
      <c r="J173" s="2" t="s">
        <v>1235</v>
      </c>
      <c r="K173" s="2"/>
      <c r="L173" s="2"/>
      <c r="M173" s="2"/>
      <c r="N173" s="2"/>
      <c r="O173" s="2"/>
      <c r="P173" s="2"/>
      <c r="Q173" s="2"/>
      <c r="R173" s="2"/>
      <c r="S173" s="2"/>
      <c r="T173" s="2"/>
      <c r="U173" s="2"/>
      <c r="V173" s="2"/>
      <c r="W173" s="2"/>
      <c r="X173" s="2"/>
      <c r="Y173" s="2"/>
      <c r="Z173" s="2" t="s">
        <v>1247</v>
      </c>
      <c r="AA173" s="2" t="s">
        <v>195</v>
      </c>
      <c r="AB173" s="2" t="s">
        <v>1214</v>
      </c>
      <c r="AC173" s="2" t="s">
        <v>1215</v>
      </c>
      <c r="AD173" s="2" t="s">
        <v>1216</v>
      </c>
      <c r="AE173" s="2" t="s">
        <v>1237</v>
      </c>
      <c r="AF173" s="2" t="s">
        <v>1238</v>
      </c>
      <c r="AG173" s="2" t="s">
        <v>1239</v>
      </c>
      <c r="AH173" s="2"/>
      <c r="AI173" s="2" t="s">
        <v>122</v>
      </c>
      <c r="AJ173" s="2" t="s">
        <v>140</v>
      </c>
      <c r="AK173" s="2" t="s">
        <v>1248</v>
      </c>
      <c r="AL173" s="2" t="s">
        <v>1249</v>
      </c>
      <c r="AM173" s="2" t="s">
        <v>1079</v>
      </c>
      <c r="AN173" s="2" t="s">
        <v>1242</v>
      </c>
      <c r="AO173" s="2" t="s">
        <v>1250</v>
      </c>
      <c r="AP173" s="2" t="str">
        <f t="array" ref="AP173">XLOOKUP(TRUE, CHOOSECOLS(A173:V173, 1, 4, 7, 10, 13, 16, 19, 22)&lt;&gt;"", CHOOSECOLS(A173:V173, 1, 4, 7, 10, 13, 16, 19, 22), "", 0, -1)</f>
        <v>Dynamic compression</v>
      </c>
      <c r="AQ173" s="2"/>
      <c r="AR173" s="2" t="s">
        <v>201</v>
      </c>
      <c r="AS173" s="2" t="s">
        <v>227</v>
      </c>
      <c r="AT173" s="2" t="s">
        <v>1244</v>
      </c>
      <c r="AU173" s="2"/>
      <c r="AV173" s="2"/>
      <c r="AW173" s="2"/>
      <c r="AX173" s="2"/>
      <c r="AY173" s="2"/>
      <c r="AZ173" s="2"/>
      <c r="BA173" s="2"/>
      <c r="BB173" s="2"/>
      <c r="BC173" s="2"/>
      <c r="BD173" s="2"/>
      <c r="BE173" s="2"/>
      <c r="BF173" s="2" t="s">
        <v>1245</v>
      </c>
      <c r="BG173" s="2"/>
      <c r="BH173" s="2"/>
      <c r="BI173" s="2"/>
      <c r="BJ173" s="2"/>
      <c r="BK173" s="2"/>
      <c r="BL173" s="2"/>
      <c r="BM173" s="2"/>
      <c r="BN173" s="2"/>
      <c r="BO173" s="2"/>
      <c r="BP173" s="2"/>
      <c r="BQ173" s="2"/>
      <c r="BR173" s="2" t="s">
        <v>136</v>
      </c>
      <c r="BS173" s="2" t="s">
        <v>1246</v>
      </c>
      <c r="BT173" s="2">
        <v>7.0</v>
      </c>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row>
    <row r="174">
      <c r="A174" s="2" t="s">
        <v>105</v>
      </c>
      <c r="B174" s="2" t="s">
        <v>105</v>
      </c>
      <c r="C174" s="2" t="s">
        <v>1234</v>
      </c>
      <c r="D174" s="2" t="s">
        <v>1042</v>
      </c>
      <c r="E174" s="2" t="s">
        <v>108</v>
      </c>
      <c r="F174" s="2" t="s">
        <v>1043</v>
      </c>
      <c r="G174" s="2" t="s">
        <v>1207</v>
      </c>
      <c r="H174" s="2" t="s">
        <v>1208</v>
      </c>
      <c r="I174" s="2" t="s">
        <v>1209</v>
      </c>
      <c r="J174" s="2" t="s">
        <v>1235</v>
      </c>
      <c r="K174" s="2"/>
      <c r="L174" s="2"/>
      <c r="M174" s="2"/>
      <c r="N174" s="2"/>
      <c r="O174" s="2"/>
      <c r="P174" s="2"/>
      <c r="Q174" s="2"/>
      <c r="R174" s="2"/>
      <c r="S174" s="2"/>
      <c r="T174" s="2"/>
      <c r="U174" s="2"/>
      <c r="V174" s="2"/>
      <c r="W174" s="2"/>
      <c r="X174" s="2"/>
      <c r="Y174" s="2"/>
      <c r="Z174" s="2" t="s">
        <v>1251</v>
      </c>
      <c r="AA174" s="2" t="s">
        <v>195</v>
      </c>
      <c r="AB174" s="2" t="s">
        <v>1214</v>
      </c>
      <c r="AC174" s="2" t="s">
        <v>1215</v>
      </c>
      <c r="AD174" s="2" t="s">
        <v>1216</v>
      </c>
      <c r="AE174" s="2" t="s">
        <v>1237</v>
      </c>
      <c r="AF174" s="2" t="s">
        <v>1238</v>
      </c>
      <c r="AG174" s="2" t="s">
        <v>1239</v>
      </c>
      <c r="AH174" s="2"/>
      <c r="AI174" s="2" t="s">
        <v>312</v>
      </c>
      <c r="AJ174" s="2" t="s">
        <v>571</v>
      </c>
      <c r="AK174" s="2" t="s">
        <v>1252</v>
      </c>
      <c r="AL174" s="2"/>
      <c r="AM174" s="2"/>
      <c r="AN174" s="2" t="s">
        <v>1242</v>
      </c>
      <c r="AO174" s="2" t="s">
        <v>1253</v>
      </c>
      <c r="AP174" s="2" t="str">
        <f t="array" ref="AP174">XLOOKUP(TRUE, CHOOSECOLS(A174:V174, 1, 4, 7, 10, 13, 16, 19, 22)&lt;&gt;"", CHOOSECOLS(A174:V174, 1, 4, 7, 10, 13, 16, 19, 22), "", 0, -1)</f>
        <v>Dynamic compression</v>
      </c>
      <c r="AQ174" s="2"/>
      <c r="AR174" s="2" t="s">
        <v>201</v>
      </c>
      <c r="AS174" s="2" t="s">
        <v>227</v>
      </c>
      <c r="AT174" s="2" t="s">
        <v>1244</v>
      </c>
      <c r="AU174" s="2"/>
      <c r="AV174" s="2"/>
      <c r="AW174" s="2"/>
      <c r="AX174" s="2"/>
      <c r="AY174" s="2"/>
      <c r="AZ174" s="2"/>
      <c r="BA174" s="2"/>
      <c r="BB174" s="2"/>
      <c r="BC174" s="2"/>
      <c r="BD174" s="2"/>
      <c r="BE174" s="2"/>
      <c r="BF174" s="2" t="s">
        <v>1245</v>
      </c>
      <c r="BG174" s="2"/>
      <c r="BH174" s="2"/>
      <c r="BI174" s="2"/>
      <c r="BJ174" s="2"/>
      <c r="BK174" s="2"/>
      <c r="BL174" s="2"/>
      <c r="BM174" s="2"/>
      <c r="BN174" s="2"/>
      <c r="BO174" s="2"/>
      <c r="BP174" s="2"/>
      <c r="BQ174" s="2"/>
      <c r="BR174" s="2" t="s">
        <v>136</v>
      </c>
      <c r="BS174" s="2" t="s">
        <v>1246</v>
      </c>
      <c r="BT174" s="2">
        <v>7.0</v>
      </c>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row>
    <row r="175">
      <c r="A175" s="2" t="s">
        <v>105</v>
      </c>
      <c r="B175" s="2" t="s">
        <v>105</v>
      </c>
      <c r="C175" s="2" t="s">
        <v>1254</v>
      </c>
      <c r="D175" s="2" t="s">
        <v>1042</v>
      </c>
      <c r="E175" s="2" t="s">
        <v>108</v>
      </c>
      <c r="F175" s="2" t="s">
        <v>1043</v>
      </c>
      <c r="G175" s="2" t="s">
        <v>1207</v>
      </c>
      <c r="H175" s="2" t="s">
        <v>1208</v>
      </c>
      <c r="I175" s="2" t="s">
        <v>1209</v>
      </c>
      <c r="J175" s="2" t="s">
        <v>1255</v>
      </c>
      <c r="K175" s="2"/>
      <c r="L175" s="2"/>
      <c r="M175" s="2"/>
      <c r="N175" s="2"/>
      <c r="O175" s="2"/>
      <c r="P175" s="2"/>
      <c r="Q175" s="2"/>
      <c r="R175" s="2"/>
      <c r="S175" s="2"/>
      <c r="T175" s="2"/>
      <c r="U175" s="2"/>
      <c r="V175" s="2"/>
      <c r="W175" s="2"/>
      <c r="X175" s="2"/>
      <c r="Y175" s="2"/>
      <c r="Z175" s="2" t="s">
        <v>1256</v>
      </c>
      <c r="AA175" s="2" t="s">
        <v>195</v>
      </c>
      <c r="AB175" s="2" t="s">
        <v>1214</v>
      </c>
      <c r="AC175" s="2" t="s">
        <v>1215</v>
      </c>
      <c r="AD175" s="2" t="s">
        <v>1216</v>
      </c>
      <c r="AE175" s="2" t="s">
        <v>1257</v>
      </c>
      <c r="AF175" s="2" t="s">
        <v>1215</v>
      </c>
      <c r="AG175" s="2" t="s">
        <v>1216</v>
      </c>
      <c r="AH175" s="2"/>
      <c r="AI175" s="2" t="s">
        <v>122</v>
      </c>
      <c r="AJ175" s="2" t="s">
        <v>140</v>
      </c>
      <c r="AK175" s="2" t="s">
        <v>1258</v>
      </c>
      <c r="AL175" s="2" t="s">
        <v>1259</v>
      </c>
      <c r="AM175" s="2" t="s">
        <v>1065</v>
      </c>
      <c r="AN175" s="2" t="s">
        <v>1260</v>
      </c>
      <c r="AO175" s="2" t="s">
        <v>1261</v>
      </c>
      <c r="AP175" s="2" t="str">
        <f t="array" ref="AP175">XLOOKUP(TRUE, CHOOSECOLS(A175:V175, 1, 4, 7, 10, 13, 16, 19, 22)&lt;&gt;"", CHOOSECOLS(A175:V175, 1, 4, 7, 10, 13, 16, 19, 22), "", 0, -1)</f>
        <v>Forced expiration test</v>
      </c>
      <c r="AQ175" s="2"/>
      <c r="AR175" s="2" t="s">
        <v>201</v>
      </c>
      <c r="AS175" s="2" t="s">
        <v>227</v>
      </c>
      <c r="AT175" s="2" t="s">
        <v>1262</v>
      </c>
      <c r="AU175" s="2"/>
      <c r="AV175" s="2"/>
      <c r="AW175" s="2" t="s">
        <v>1263</v>
      </c>
      <c r="AX175" s="2" t="s">
        <v>1264</v>
      </c>
      <c r="AY175" s="2" t="s">
        <v>1265</v>
      </c>
      <c r="AZ175" s="2"/>
      <c r="BA175" s="2"/>
      <c r="BB175" s="2"/>
      <c r="BC175" s="2"/>
      <c r="BD175" s="2"/>
      <c r="BE175" s="2"/>
      <c r="BF175" s="2" t="s">
        <v>1266</v>
      </c>
      <c r="BG175" s="2"/>
      <c r="BH175" s="2"/>
      <c r="BI175" s="2"/>
      <c r="BJ175" s="2"/>
      <c r="BK175" s="2"/>
      <c r="BL175" s="2"/>
      <c r="BM175" s="2"/>
      <c r="BN175" s="2"/>
      <c r="BO175" s="2"/>
      <c r="BP175" s="2"/>
      <c r="BQ175" s="2"/>
      <c r="BR175" s="2" t="s">
        <v>136</v>
      </c>
      <c r="BS175" s="2" t="s">
        <v>1267</v>
      </c>
      <c r="BT175" s="2">
        <v>7.0</v>
      </c>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row>
    <row r="176">
      <c r="A176" s="2" t="s">
        <v>105</v>
      </c>
      <c r="B176" s="2" t="s">
        <v>105</v>
      </c>
      <c r="C176" s="2" t="s">
        <v>1254</v>
      </c>
      <c r="D176" s="2" t="s">
        <v>1042</v>
      </c>
      <c r="E176" s="2" t="s">
        <v>108</v>
      </c>
      <c r="F176" s="2" t="s">
        <v>1043</v>
      </c>
      <c r="G176" s="2" t="s">
        <v>1207</v>
      </c>
      <c r="H176" s="2" t="s">
        <v>1208</v>
      </c>
      <c r="I176" s="2" t="s">
        <v>1209</v>
      </c>
      <c r="J176" s="2" t="s">
        <v>1255</v>
      </c>
      <c r="K176" s="2"/>
      <c r="L176" s="2"/>
      <c r="M176" s="2"/>
      <c r="N176" s="2"/>
      <c r="O176" s="2"/>
      <c r="P176" s="2"/>
      <c r="Q176" s="2"/>
      <c r="R176" s="2"/>
      <c r="S176" s="2"/>
      <c r="T176" s="2"/>
      <c r="U176" s="2"/>
      <c r="V176" s="2"/>
      <c r="W176" s="2"/>
      <c r="X176" s="2"/>
      <c r="Y176" s="2"/>
      <c r="Z176" s="2" t="s">
        <v>1268</v>
      </c>
      <c r="AA176" s="2" t="s">
        <v>195</v>
      </c>
      <c r="AB176" s="2" t="s">
        <v>1214</v>
      </c>
      <c r="AC176" s="2" t="s">
        <v>1215</v>
      </c>
      <c r="AD176" s="2" t="s">
        <v>1216</v>
      </c>
      <c r="AE176" s="2" t="s">
        <v>1257</v>
      </c>
      <c r="AF176" s="2" t="s">
        <v>1215</v>
      </c>
      <c r="AG176" s="2" t="s">
        <v>1216</v>
      </c>
      <c r="AH176" s="2"/>
      <c r="AI176" s="2" t="s">
        <v>122</v>
      </c>
      <c r="AJ176" s="2" t="s">
        <v>140</v>
      </c>
      <c r="AK176" s="2" t="s">
        <v>1269</v>
      </c>
      <c r="AL176" s="2" t="s">
        <v>1270</v>
      </c>
      <c r="AM176" s="2" t="s">
        <v>1065</v>
      </c>
      <c r="AN176" s="2" t="s">
        <v>1260</v>
      </c>
      <c r="AO176" s="2" t="s">
        <v>1271</v>
      </c>
      <c r="AP176" s="2" t="str">
        <f t="array" ref="AP176">XLOOKUP(TRUE, CHOOSECOLS(A176:V176, 1, 4, 7, 10, 13, 16, 19, 22)&lt;&gt;"", CHOOSECOLS(A176:V176, 1, 4, 7, 10, 13, 16, 19, 22), "", 0, -1)</f>
        <v>Forced expiration test</v>
      </c>
      <c r="AQ176" s="2"/>
      <c r="AR176" s="2" t="s">
        <v>201</v>
      </c>
      <c r="AS176" s="2" t="s">
        <v>227</v>
      </c>
      <c r="AT176" s="2" t="s">
        <v>1262</v>
      </c>
      <c r="AU176" s="2"/>
      <c r="AV176" s="2"/>
      <c r="AW176" s="2" t="s">
        <v>1263</v>
      </c>
      <c r="AX176" s="2" t="s">
        <v>1264</v>
      </c>
      <c r="AY176" s="2" t="s">
        <v>1265</v>
      </c>
      <c r="AZ176" s="2"/>
      <c r="BA176" s="2"/>
      <c r="BB176" s="2"/>
      <c r="BC176" s="2"/>
      <c r="BD176" s="2"/>
      <c r="BE176" s="2"/>
      <c r="BF176" s="2" t="s">
        <v>1266</v>
      </c>
      <c r="BG176" s="2"/>
      <c r="BH176" s="2"/>
      <c r="BI176" s="2"/>
      <c r="BJ176" s="2"/>
      <c r="BK176" s="2"/>
      <c r="BL176" s="2"/>
      <c r="BM176" s="2"/>
      <c r="BN176" s="2"/>
      <c r="BO176" s="2"/>
      <c r="BP176" s="2"/>
      <c r="BQ176" s="2"/>
      <c r="BR176" s="2" t="s">
        <v>136</v>
      </c>
      <c r="BS176" s="2" t="s">
        <v>1267</v>
      </c>
      <c r="BT176" s="2">
        <v>7.0</v>
      </c>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row>
    <row r="177">
      <c r="A177" s="2" t="s">
        <v>105</v>
      </c>
      <c r="B177" s="2" t="s">
        <v>105</v>
      </c>
      <c r="C177" s="2" t="s">
        <v>1254</v>
      </c>
      <c r="D177" s="2" t="s">
        <v>1042</v>
      </c>
      <c r="E177" s="2" t="s">
        <v>108</v>
      </c>
      <c r="F177" s="2" t="s">
        <v>1043</v>
      </c>
      <c r="G177" s="2" t="s">
        <v>1207</v>
      </c>
      <c r="H177" s="2" t="s">
        <v>1208</v>
      </c>
      <c r="I177" s="2" t="s">
        <v>1209</v>
      </c>
      <c r="J177" s="2" t="s">
        <v>1255</v>
      </c>
      <c r="K177" s="2"/>
      <c r="L177" s="2"/>
      <c r="M177" s="2"/>
      <c r="N177" s="2"/>
      <c r="O177" s="2"/>
      <c r="P177" s="2"/>
      <c r="Q177" s="2"/>
      <c r="R177" s="2"/>
      <c r="S177" s="2"/>
      <c r="T177" s="2"/>
      <c r="U177" s="2"/>
      <c r="V177" s="2"/>
      <c r="W177" s="2"/>
      <c r="X177" s="2"/>
      <c r="Y177" s="2"/>
      <c r="Z177" s="2" t="s">
        <v>1272</v>
      </c>
      <c r="AA177" s="2" t="s">
        <v>195</v>
      </c>
      <c r="AB177" s="2" t="s">
        <v>1214</v>
      </c>
      <c r="AC177" s="2" t="s">
        <v>1215</v>
      </c>
      <c r="AD177" s="2" t="s">
        <v>1216</v>
      </c>
      <c r="AE177" s="2" t="s">
        <v>1257</v>
      </c>
      <c r="AF177" s="2" t="s">
        <v>1215</v>
      </c>
      <c r="AG177" s="2" t="s">
        <v>1216</v>
      </c>
      <c r="AH177" s="2"/>
      <c r="AI177" s="2" t="s">
        <v>122</v>
      </c>
      <c r="AJ177" s="2" t="s">
        <v>1273</v>
      </c>
      <c r="AK177" s="2" t="s">
        <v>1274</v>
      </c>
      <c r="AL177" s="2"/>
      <c r="AM177" s="2" t="s">
        <v>1275</v>
      </c>
      <c r="AN177" s="2" t="s">
        <v>1260</v>
      </c>
      <c r="AO177" s="2" t="s">
        <v>1276</v>
      </c>
      <c r="AP177" s="2" t="str">
        <f t="array" ref="AP177">XLOOKUP(TRUE, CHOOSECOLS(A177:V177, 1, 4, 7, 10, 13, 16, 19, 22)&lt;&gt;"", CHOOSECOLS(A177:V177, 1, 4, 7, 10, 13, 16, 19, 22), "", 0, -1)</f>
        <v>Forced expiration test</v>
      </c>
      <c r="AQ177" s="2"/>
      <c r="AR177" s="2" t="s">
        <v>201</v>
      </c>
      <c r="AS177" s="2" t="s">
        <v>227</v>
      </c>
      <c r="AT177" s="2" t="s">
        <v>1262</v>
      </c>
      <c r="AU177" s="2"/>
      <c r="AV177" s="2"/>
      <c r="AW177" s="2" t="s">
        <v>1263</v>
      </c>
      <c r="AX177" s="2" t="s">
        <v>1264</v>
      </c>
      <c r="AY177" s="2" t="s">
        <v>1265</v>
      </c>
      <c r="AZ177" s="2"/>
      <c r="BA177" s="2"/>
      <c r="BB177" s="2"/>
      <c r="BC177" s="2"/>
      <c r="BD177" s="2"/>
      <c r="BE177" s="2"/>
      <c r="BF177" s="2" t="s">
        <v>1266</v>
      </c>
      <c r="BG177" s="2"/>
      <c r="BH177" s="2"/>
      <c r="BI177" s="2"/>
      <c r="BJ177" s="2"/>
      <c r="BK177" s="2"/>
      <c r="BL177" s="2"/>
      <c r="BM177" s="2"/>
      <c r="BN177" s="2"/>
      <c r="BO177" s="2"/>
      <c r="BP177" s="2"/>
      <c r="BQ177" s="2"/>
      <c r="BR177" s="2" t="s">
        <v>136</v>
      </c>
      <c r="BS177" s="2" t="s">
        <v>1267</v>
      </c>
      <c r="BT177" s="2">
        <v>7.0</v>
      </c>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row>
    <row r="178">
      <c r="A178" s="4" t="s">
        <v>105</v>
      </c>
      <c r="B178" s="4" t="s">
        <v>105</v>
      </c>
      <c r="C178" s="4" t="s">
        <v>1277</v>
      </c>
      <c r="D178" s="4" t="s">
        <v>1042</v>
      </c>
      <c r="E178" s="4" t="s">
        <v>108</v>
      </c>
      <c r="F178" s="4" t="s">
        <v>1043</v>
      </c>
      <c r="G178" s="4" t="s">
        <v>1207</v>
      </c>
      <c r="H178" s="4" t="s">
        <v>1208</v>
      </c>
      <c r="I178" s="4" t="s">
        <v>1209</v>
      </c>
      <c r="J178" s="4" t="s">
        <v>1278</v>
      </c>
      <c r="Z178" s="2" t="s">
        <v>1279</v>
      </c>
      <c r="AA178" s="2" t="s">
        <v>115</v>
      </c>
      <c r="AB178" s="2" t="s">
        <v>116</v>
      </c>
      <c r="AC178" s="4" t="s">
        <v>117</v>
      </c>
      <c r="AD178" s="4" t="s">
        <v>118</v>
      </c>
      <c r="AE178" s="4" t="s">
        <v>1280</v>
      </c>
      <c r="AF178" s="4" t="s">
        <v>1281</v>
      </c>
      <c r="AG178" s="4" t="s">
        <v>1282</v>
      </c>
      <c r="AI178" s="4" t="s">
        <v>357</v>
      </c>
      <c r="AJ178" s="2" t="s">
        <v>394</v>
      </c>
      <c r="AK178" s="4" t="s">
        <v>1283</v>
      </c>
      <c r="AL178" s="2"/>
      <c r="AM178" s="4" t="s">
        <v>1079</v>
      </c>
      <c r="AN178" s="4" t="s">
        <v>1284</v>
      </c>
      <c r="AO178" s="4" t="s">
        <v>1285</v>
      </c>
      <c r="AP178" s="4" t="str">
        <f t="array" ref="AP178">XLOOKUP(TRUE, CHOOSECOLS(A178:V178, 1, 4, 7, 10, 13, 16, 19, 22)&lt;&gt;"", CHOOSECOLS(A178:V178, 1, 4, 7, 10, 13, 16, 19, 22), "", 0, -1)</f>
        <v>Uneven ventilation</v>
      </c>
      <c r="AQ178" s="2"/>
      <c r="AR178" s="2" t="s">
        <v>129</v>
      </c>
      <c r="AS178" s="4" t="s">
        <v>227</v>
      </c>
      <c r="AT178" s="4" t="s">
        <v>1286</v>
      </c>
      <c r="BF178" s="4" t="s">
        <v>1287</v>
      </c>
      <c r="BR178" s="4" t="s">
        <v>136</v>
      </c>
      <c r="BS178" s="4" t="s">
        <v>1288</v>
      </c>
      <c r="BT178" s="4">
        <v>7.0</v>
      </c>
      <c r="BU178" s="2"/>
      <c r="BV178" s="2"/>
      <c r="BW178" s="2"/>
      <c r="BX178" s="2"/>
      <c r="BY178" s="2"/>
      <c r="BZ178" s="2"/>
      <c r="CA178" s="2"/>
      <c r="CB178" s="2"/>
      <c r="CC178" s="2"/>
    </row>
    <row r="179">
      <c r="A179" s="4" t="s">
        <v>105</v>
      </c>
      <c r="B179" s="4" t="s">
        <v>105</v>
      </c>
      <c r="C179" s="4" t="s">
        <v>1277</v>
      </c>
      <c r="D179" s="4" t="s">
        <v>1042</v>
      </c>
      <c r="E179" s="4" t="s">
        <v>108</v>
      </c>
      <c r="F179" s="4" t="s">
        <v>1043</v>
      </c>
      <c r="G179" s="4" t="s">
        <v>1207</v>
      </c>
      <c r="H179" s="4" t="s">
        <v>1208</v>
      </c>
      <c r="I179" s="4" t="s">
        <v>1209</v>
      </c>
      <c r="J179" s="4" t="s">
        <v>1278</v>
      </c>
      <c r="Z179" s="2" t="s">
        <v>1289</v>
      </c>
      <c r="AA179" s="2" t="s">
        <v>115</v>
      </c>
      <c r="AB179" s="2" t="s">
        <v>116</v>
      </c>
      <c r="AC179" s="4" t="s">
        <v>117</v>
      </c>
      <c r="AD179" s="4" t="s">
        <v>118</v>
      </c>
      <c r="AE179" s="4" t="s">
        <v>1280</v>
      </c>
      <c r="AF179" s="4" t="s">
        <v>1281</v>
      </c>
      <c r="AG179" s="4" t="s">
        <v>1282</v>
      </c>
      <c r="AI179" s="4" t="s">
        <v>357</v>
      </c>
      <c r="AJ179" s="2" t="s">
        <v>394</v>
      </c>
      <c r="AK179" s="4" t="s">
        <v>1290</v>
      </c>
      <c r="AL179" s="2"/>
      <c r="AM179" s="4" t="s">
        <v>1065</v>
      </c>
      <c r="AN179" s="4" t="s">
        <v>1284</v>
      </c>
      <c r="AO179" s="4" t="s">
        <v>1291</v>
      </c>
      <c r="AP179" s="4" t="str">
        <f t="array" ref="AP179">XLOOKUP(TRUE, CHOOSECOLS(A179:V179, 1, 4, 7, 10, 13, 16, 19, 22)&lt;&gt;"", CHOOSECOLS(A179:V179, 1, 4, 7, 10, 13, 16, 19, 22), "", 0, -1)</f>
        <v>Uneven ventilation</v>
      </c>
      <c r="AQ179" s="2"/>
      <c r="AR179" s="2" t="s">
        <v>129</v>
      </c>
      <c r="AS179" s="4" t="s">
        <v>227</v>
      </c>
      <c r="AT179" s="4" t="s">
        <v>1286</v>
      </c>
      <c r="BF179" s="4" t="s">
        <v>1287</v>
      </c>
      <c r="BR179" s="4" t="s">
        <v>136</v>
      </c>
      <c r="BS179" s="4" t="s">
        <v>1288</v>
      </c>
      <c r="BT179" s="4">
        <v>7.0</v>
      </c>
      <c r="BU179" s="2"/>
      <c r="BV179" s="2"/>
      <c r="BW179" s="2"/>
      <c r="BX179" s="2"/>
      <c r="BY179" s="2"/>
      <c r="BZ179" s="2"/>
      <c r="CA179" s="2"/>
      <c r="CB179" s="2"/>
      <c r="CC179" s="2"/>
    </row>
    <row r="180">
      <c r="A180" s="4" t="s">
        <v>105</v>
      </c>
      <c r="B180" s="4" t="s">
        <v>105</v>
      </c>
      <c r="C180" s="4" t="s">
        <v>1277</v>
      </c>
      <c r="D180" s="4" t="s">
        <v>1042</v>
      </c>
      <c r="E180" s="4" t="s">
        <v>108</v>
      </c>
      <c r="F180" s="4" t="s">
        <v>1043</v>
      </c>
      <c r="G180" s="4" t="s">
        <v>1207</v>
      </c>
      <c r="H180" s="4" t="s">
        <v>1208</v>
      </c>
      <c r="I180" s="4" t="s">
        <v>1209</v>
      </c>
      <c r="J180" s="4" t="s">
        <v>1278</v>
      </c>
      <c r="Z180" s="2" t="s">
        <v>1292</v>
      </c>
      <c r="AA180" s="2" t="s">
        <v>115</v>
      </c>
      <c r="AB180" s="2" t="s">
        <v>116</v>
      </c>
      <c r="AC180" s="4" t="s">
        <v>117</v>
      </c>
      <c r="AD180" s="4" t="s">
        <v>118</v>
      </c>
      <c r="AE180" s="4" t="s">
        <v>1280</v>
      </c>
      <c r="AF180" s="4" t="s">
        <v>1281</v>
      </c>
      <c r="AG180" s="4" t="s">
        <v>1282</v>
      </c>
      <c r="AI180" s="4" t="s">
        <v>122</v>
      </c>
      <c r="AJ180" s="2" t="s">
        <v>1293</v>
      </c>
      <c r="AK180" s="2" t="s">
        <v>652</v>
      </c>
      <c r="AL180" s="2"/>
      <c r="AN180" s="4" t="s">
        <v>1284</v>
      </c>
      <c r="AO180" s="4" t="s">
        <v>1294</v>
      </c>
      <c r="AP180" s="4" t="str">
        <f t="array" ref="AP180">XLOOKUP(TRUE, CHOOSECOLS(A180:V180, 1, 4, 7, 10, 13, 16, 19, 22)&lt;&gt;"", CHOOSECOLS(A180:V180, 1, 4, 7, 10, 13, 16, 19, 22), "", 0, -1)</f>
        <v>Uneven ventilation</v>
      </c>
      <c r="AQ180" s="2"/>
      <c r="AR180" s="2" t="s">
        <v>129</v>
      </c>
      <c r="AS180" s="4" t="s">
        <v>227</v>
      </c>
      <c r="AT180" s="4" t="s">
        <v>1286</v>
      </c>
      <c r="BF180" s="4" t="s">
        <v>1287</v>
      </c>
      <c r="BR180" s="4" t="s">
        <v>136</v>
      </c>
      <c r="BS180" s="4" t="s">
        <v>1288</v>
      </c>
      <c r="BT180" s="4">
        <v>7.0</v>
      </c>
      <c r="BU180" s="2"/>
      <c r="BV180" s="2"/>
      <c r="BW180" s="2"/>
      <c r="BX180" s="2"/>
      <c r="BY180" s="2"/>
      <c r="BZ180" s="2"/>
      <c r="CA180" s="2"/>
      <c r="CB180" s="2"/>
      <c r="CC180" s="2"/>
    </row>
    <row r="181">
      <c r="A181" s="4" t="s">
        <v>105</v>
      </c>
      <c r="B181" s="4" t="s">
        <v>105</v>
      </c>
      <c r="C181" s="4" t="s">
        <v>1295</v>
      </c>
      <c r="D181" s="4" t="s">
        <v>1042</v>
      </c>
      <c r="E181" s="4" t="s">
        <v>108</v>
      </c>
      <c r="F181" s="4" t="s">
        <v>1043</v>
      </c>
      <c r="G181" s="4" t="s">
        <v>1207</v>
      </c>
      <c r="H181" s="4" t="s">
        <v>1208</v>
      </c>
      <c r="I181" s="4" t="s">
        <v>1209</v>
      </c>
      <c r="J181" s="4" t="s">
        <v>1296</v>
      </c>
      <c r="K181" s="4" t="s">
        <v>108</v>
      </c>
      <c r="L181" s="4" t="s">
        <v>1043</v>
      </c>
      <c r="Z181" s="2" t="s">
        <v>1297</v>
      </c>
      <c r="AA181" s="2" t="s">
        <v>115</v>
      </c>
      <c r="AB181" s="2" t="s">
        <v>116</v>
      </c>
      <c r="AC181" s="4" t="s">
        <v>117</v>
      </c>
      <c r="AD181" s="4" t="s">
        <v>118</v>
      </c>
      <c r="AE181" s="2" t="s">
        <v>1298</v>
      </c>
      <c r="AF181" s="4" t="s">
        <v>511</v>
      </c>
      <c r="AG181" s="4" t="s">
        <v>512</v>
      </c>
      <c r="AI181" s="2" t="s">
        <v>122</v>
      </c>
      <c r="AJ181" s="2" t="s">
        <v>140</v>
      </c>
      <c r="AK181" s="4" t="s">
        <v>1299</v>
      </c>
      <c r="AL181" s="4" t="s">
        <v>1300</v>
      </c>
      <c r="AN181" s="4" t="s">
        <v>1301</v>
      </c>
      <c r="AO181" s="4" t="s">
        <v>1302</v>
      </c>
      <c r="AP181" s="4" t="str">
        <f t="array" ref="AP181">XLOOKUP(TRUE, CHOOSECOLS(A181:V181, 1, 4, 7, 10, 13, 16, 19, 22)&lt;&gt;"", CHOOSECOLS(A181:V181, 1, 4, 7, 10, 13, 16, 19, 22), "", 0, -1)</f>
        <v>Work of breathing</v>
      </c>
      <c r="AQ181" s="2"/>
      <c r="AR181" s="2" t="s">
        <v>129</v>
      </c>
      <c r="AS181" s="4" t="s">
        <v>130</v>
      </c>
      <c r="AT181" s="4" t="s">
        <v>1303</v>
      </c>
      <c r="AW181" s="2" t="s">
        <v>1304</v>
      </c>
      <c r="BF181" s="4" t="s">
        <v>1305</v>
      </c>
      <c r="BR181" s="4" t="s">
        <v>136</v>
      </c>
      <c r="BS181" s="4" t="s">
        <v>1306</v>
      </c>
      <c r="BT181" s="4">
        <v>7.0</v>
      </c>
      <c r="BU181" s="2"/>
      <c r="BV181" s="2"/>
      <c r="BW181" s="2"/>
      <c r="BX181" s="2"/>
      <c r="BY181" s="2"/>
      <c r="BZ181" s="2"/>
      <c r="CA181" s="2"/>
      <c r="CB181" s="2"/>
      <c r="CC181" s="2"/>
    </row>
    <row r="182">
      <c r="A182" s="4" t="s">
        <v>105</v>
      </c>
      <c r="B182" s="4" t="s">
        <v>105</v>
      </c>
      <c r="C182" s="4" t="s">
        <v>1295</v>
      </c>
      <c r="D182" s="4" t="s">
        <v>1042</v>
      </c>
      <c r="E182" s="4" t="s">
        <v>108</v>
      </c>
      <c r="F182" s="4" t="s">
        <v>1043</v>
      </c>
      <c r="G182" s="4" t="s">
        <v>1207</v>
      </c>
      <c r="H182" s="4" t="s">
        <v>1208</v>
      </c>
      <c r="I182" s="4" t="s">
        <v>1209</v>
      </c>
      <c r="J182" s="4" t="s">
        <v>1296</v>
      </c>
      <c r="K182" s="4" t="s">
        <v>108</v>
      </c>
      <c r="L182" s="4" t="s">
        <v>1043</v>
      </c>
      <c r="Z182" s="4" t="s">
        <v>1307</v>
      </c>
      <c r="AA182" s="2" t="s">
        <v>115</v>
      </c>
      <c r="AB182" s="4" t="s">
        <v>116</v>
      </c>
      <c r="AC182" s="4" t="s">
        <v>117</v>
      </c>
      <c r="AD182" s="4" t="s">
        <v>118</v>
      </c>
      <c r="AE182" s="2" t="s">
        <v>1298</v>
      </c>
      <c r="AF182" s="4" t="s">
        <v>511</v>
      </c>
      <c r="AG182" s="4" t="s">
        <v>512</v>
      </c>
      <c r="AI182" s="4" t="s">
        <v>122</v>
      </c>
      <c r="AJ182" s="2" t="s">
        <v>1308</v>
      </c>
      <c r="AK182" s="2" t="s">
        <v>1309</v>
      </c>
      <c r="AL182" s="2" t="s">
        <v>1310</v>
      </c>
      <c r="AN182" s="4" t="s">
        <v>1301</v>
      </c>
      <c r="AO182" s="4" t="s">
        <v>1311</v>
      </c>
      <c r="AP182" s="4" t="str">
        <f t="array" ref="AP182">XLOOKUP(TRUE, CHOOSECOLS(A182:V182, 1, 4, 7, 10, 13, 16, 19, 22)&lt;&gt;"", CHOOSECOLS(A182:V182, 1, 4, 7, 10, 13, 16, 19, 22), "", 0, -1)</f>
        <v>Work of breathing</v>
      </c>
      <c r="AR182" s="2" t="s">
        <v>129</v>
      </c>
      <c r="AS182" s="4" t="s">
        <v>130</v>
      </c>
      <c r="AT182" s="4" t="s">
        <v>1303</v>
      </c>
      <c r="AW182" s="4" t="s">
        <v>1304</v>
      </c>
      <c r="BF182" s="4" t="s">
        <v>1305</v>
      </c>
      <c r="BR182" s="4" t="s">
        <v>136</v>
      </c>
      <c r="BS182" s="4" t="s">
        <v>1306</v>
      </c>
      <c r="BT182" s="4">
        <v>7.0</v>
      </c>
      <c r="BU182" s="2"/>
      <c r="BV182" s="2"/>
      <c r="BW182" s="2"/>
      <c r="BX182" s="2"/>
      <c r="BY182" s="2"/>
      <c r="BZ182" s="2"/>
      <c r="CA182" s="2"/>
      <c r="CB182" s="2"/>
      <c r="CC182" s="2"/>
    </row>
    <row r="183">
      <c r="A183" s="4" t="s">
        <v>105</v>
      </c>
      <c r="B183" s="4" t="s">
        <v>105</v>
      </c>
      <c r="C183" s="4" t="s">
        <v>1295</v>
      </c>
      <c r="D183" s="4" t="s">
        <v>1042</v>
      </c>
      <c r="E183" s="4" t="s">
        <v>108</v>
      </c>
      <c r="F183" s="4" t="s">
        <v>1043</v>
      </c>
      <c r="G183" s="4" t="s">
        <v>1207</v>
      </c>
      <c r="H183" s="4" t="s">
        <v>1208</v>
      </c>
      <c r="I183" s="4" t="s">
        <v>1209</v>
      </c>
      <c r="J183" s="4" t="s">
        <v>1296</v>
      </c>
      <c r="K183" s="4" t="s">
        <v>108</v>
      </c>
      <c r="L183" s="4" t="s">
        <v>1043</v>
      </c>
      <c r="Z183" s="4" t="s">
        <v>1312</v>
      </c>
      <c r="AA183" s="2" t="s">
        <v>115</v>
      </c>
      <c r="AB183" s="4" t="s">
        <v>116</v>
      </c>
      <c r="AC183" s="4" t="s">
        <v>117</v>
      </c>
      <c r="AD183" s="4" t="s">
        <v>118</v>
      </c>
      <c r="AE183" s="2" t="s">
        <v>1298</v>
      </c>
      <c r="AF183" s="4" t="s">
        <v>511</v>
      </c>
      <c r="AG183" s="4" t="s">
        <v>512</v>
      </c>
      <c r="AI183" s="4" t="s">
        <v>122</v>
      </c>
      <c r="AJ183" s="2" t="s">
        <v>140</v>
      </c>
      <c r="AK183" s="4" t="s">
        <v>1313</v>
      </c>
      <c r="AL183" s="4" t="s">
        <v>1314</v>
      </c>
      <c r="AN183" s="4" t="s">
        <v>1301</v>
      </c>
      <c r="AO183" s="4" t="s">
        <v>1315</v>
      </c>
      <c r="AP183" s="4" t="str">
        <f t="array" ref="AP183">XLOOKUP(TRUE, CHOOSECOLS(A183:V183, 1, 4, 7, 10, 13, 16, 19, 22)&lt;&gt;"", CHOOSECOLS(A183:V183, 1, 4, 7, 10, 13, 16, 19, 22), "", 0, -1)</f>
        <v>Work of breathing</v>
      </c>
      <c r="AR183" s="2" t="s">
        <v>129</v>
      </c>
      <c r="AS183" s="4" t="s">
        <v>130</v>
      </c>
      <c r="AT183" s="4" t="s">
        <v>1303</v>
      </c>
      <c r="AW183" s="4" t="s">
        <v>1304</v>
      </c>
      <c r="BF183" s="4" t="s">
        <v>1305</v>
      </c>
      <c r="BR183" s="4" t="s">
        <v>136</v>
      </c>
      <c r="BS183" s="4" t="s">
        <v>1306</v>
      </c>
      <c r="BT183" s="4">
        <v>7.0</v>
      </c>
      <c r="BU183" s="2"/>
      <c r="BV183" s="2"/>
      <c r="BW183" s="2"/>
      <c r="BX183" s="2"/>
      <c r="BY183" s="2"/>
      <c r="BZ183" s="2"/>
      <c r="CA183" s="2"/>
      <c r="CB183" s="2"/>
      <c r="CC183" s="2"/>
    </row>
    <row r="184">
      <c r="A184" s="4" t="s">
        <v>105</v>
      </c>
      <c r="B184" s="4" t="s">
        <v>105</v>
      </c>
      <c r="C184" s="4" t="s">
        <v>1316</v>
      </c>
      <c r="D184" s="4" t="s">
        <v>1042</v>
      </c>
      <c r="E184" s="4" t="s">
        <v>108</v>
      </c>
      <c r="F184" s="4" t="s">
        <v>1043</v>
      </c>
      <c r="G184" s="4" t="s">
        <v>1207</v>
      </c>
      <c r="H184" s="4" t="s">
        <v>1208</v>
      </c>
      <c r="I184" s="4" t="s">
        <v>1209</v>
      </c>
      <c r="J184" s="4" t="s">
        <v>1317</v>
      </c>
      <c r="Z184" s="4" t="s">
        <v>1318</v>
      </c>
      <c r="AA184" s="2" t="s">
        <v>115</v>
      </c>
      <c r="AB184" s="4" t="s">
        <v>1319</v>
      </c>
      <c r="AC184" s="2" t="s">
        <v>1215</v>
      </c>
      <c r="AD184" s="2" t="s">
        <v>1216</v>
      </c>
      <c r="AE184" s="2" t="s">
        <v>1298</v>
      </c>
      <c r="AF184" s="2" t="s">
        <v>1320</v>
      </c>
      <c r="AG184" s="2" t="s">
        <v>1321</v>
      </c>
      <c r="AH184" s="2" t="s">
        <v>1322</v>
      </c>
      <c r="AI184" s="4" t="s">
        <v>122</v>
      </c>
      <c r="AJ184" s="2" t="s">
        <v>351</v>
      </c>
      <c r="AK184" s="2" t="s">
        <v>1323</v>
      </c>
      <c r="AL184" s="2" t="s">
        <v>117</v>
      </c>
      <c r="AM184" s="4" t="s">
        <v>1079</v>
      </c>
      <c r="AN184" s="4" t="s">
        <v>1324</v>
      </c>
      <c r="AO184" s="2" t="s">
        <v>1325</v>
      </c>
      <c r="AP184" s="4" t="str">
        <f t="array" ref="AP184">XLOOKUP(TRUE, CHOOSECOLS(A184:V184, 1, 4, 7, 10, 13, 16, 19, 22)&lt;&gt;"", CHOOSECOLS(A184:V184, 1, 4, 7, 10, 13, 16, 19, 22), "", 0, -1)</f>
        <v>Positive pressure ventilation</v>
      </c>
      <c r="AQ184" s="4" t="s">
        <v>317</v>
      </c>
      <c r="AR184" s="2" t="s">
        <v>129</v>
      </c>
      <c r="AS184" s="4" t="s">
        <v>227</v>
      </c>
      <c r="AT184" s="4" t="s">
        <v>1326</v>
      </c>
      <c r="AW184" s="4" t="s">
        <v>1327</v>
      </c>
      <c r="BF184" s="4" t="s">
        <v>1328</v>
      </c>
      <c r="BR184" s="4" t="s">
        <v>136</v>
      </c>
      <c r="BS184" s="4" t="s">
        <v>1329</v>
      </c>
      <c r="BT184" s="4">
        <v>7.0</v>
      </c>
      <c r="BU184" s="2"/>
      <c r="BV184" s="2"/>
      <c r="BW184" s="2"/>
      <c r="BX184" s="2"/>
      <c r="BY184" s="2"/>
      <c r="BZ184" s="2"/>
      <c r="CA184" s="2"/>
      <c r="CB184" s="2"/>
      <c r="CC184" s="2"/>
    </row>
    <row r="185">
      <c r="A185" s="4" t="s">
        <v>105</v>
      </c>
      <c r="B185" s="4" t="s">
        <v>105</v>
      </c>
      <c r="C185" s="4" t="s">
        <v>1316</v>
      </c>
      <c r="D185" s="4" t="s">
        <v>1042</v>
      </c>
      <c r="E185" s="4" t="s">
        <v>108</v>
      </c>
      <c r="F185" s="4" t="s">
        <v>1043</v>
      </c>
      <c r="G185" s="4" t="s">
        <v>1207</v>
      </c>
      <c r="H185" s="4" t="s">
        <v>1208</v>
      </c>
      <c r="I185" s="4" t="s">
        <v>1209</v>
      </c>
      <c r="J185" s="4" t="s">
        <v>1317</v>
      </c>
      <c r="Z185" s="4" t="s">
        <v>1330</v>
      </c>
      <c r="AA185" s="2" t="s">
        <v>115</v>
      </c>
      <c r="AB185" s="4" t="s">
        <v>1214</v>
      </c>
      <c r="AC185" s="2" t="s">
        <v>1215</v>
      </c>
      <c r="AD185" s="2" t="s">
        <v>1216</v>
      </c>
      <c r="AE185" s="2" t="s">
        <v>1331</v>
      </c>
      <c r="AF185" s="2" t="s">
        <v>1320</v>
      </c>
      <c r="AG185" s="2" t="s">
        <v>1321</v>
      </c>
      <c r="AI185" s="4" t="s">
        <v>122</v>
      </c>
      <c r="AJ185" s="2" t="s">
        <v>1332</v>
      </c>
      <c r="AK185" s="4" t="s">
        <v>1333</v>
      </c>
      <c r="AL185" s="2" t="s">
        <v>1334</v>
      </c>
      <c r="AN185" s="4" t="s">
        <v>1324</v>
      </c>
      <c r="AO185" s="4" t="s">
        <v>1335</v>
      </c>
      <c r="AP185" s="4" t="str">
        <f t="array" ref="AP185">XLOOKUP(TRUE, CHOOSECOLS(A185:V185, 1, 4, 7, 10, 13, 16, 19, 22)&lt;&gt;"", CHOOSECOLS(A185:V185, 1, 4, 7, 10, 13, 16, 19, 22), "", 0, -1)</f>
        <v>Positive pressure ventilation</v>
      </c>
      <c r="AR185" s="2" t="s">
        <v>129</v>
      </c>
      <c r="AS185" s="4" t="s">
        <v>227</v>
      </c>
      <c r="AT185" s="4" t="s">
        <v>1326</v>
      </c>
      <c r="AW185" s="4" t="s">
        <v>1327</v>
      </c>
      <c r="BF185" s="4" t="s">
        <v>1328</v>
      </c>
      <c r="BR185" s="4" t="s">
        <v>136</v>
      </c>
      <c r="BS185" s="4" t="s">
        <v>1329</v>
      </c>
      <c r="BT185" s="4">
        <v>7.0</v>
      </c>
      <c r="BU185" s="2"/>
      <c r="BV185" s="2"/>
      <c r="BW185" s="2"/>
      <c r="BX185" s="2"/>
      <c r="BY185" s="2"/>
      <c r="BZ185" s="2"/>
      <c r="CA185" s="2"/>
      <c r="CB185" s="2"/>
      <c r="CC185" s="2"/>
    </row>
    <row r="186">
      <c r="A186" s="4" t="s">
        <v>105</v>
      </c>
      <c r="B186" s="4" t="s">
        <v>105</v>
      </c>
      <c r="C186" s="4" t="s">
        <v>1336</v>
      </c>
      <c r="D186" s="4" t="s">
        <v>1337</v>
      </c>
      <c r="E186" s="4" t="s">
        <v>1338</v>
      </c>
      <c r="F186" s="4" t="s">
        <v>1339</v>
      </c>
      <c r="G186" s="4" t="s">
        <v>1340</v>
      </c>
      <c r="H186" s="4" t="s">
        <v>1341</v>
      </c>
      <c r="I186" s="4" t="s">
        <v>1342</v>
      </c>
      <c r="J186" s="4" t="s">
        <v>1343</v>
      </c>
      <c r="K186" s="4" t="s">
        <v>1344</v>
      </c>
      <c r="L186" s="4" t="s">
        <v>1345</v>
      </c>
      <c r="Z186" s="4" t="s">
        <v>1346</v>
      </c>
      <c r="AA186" s="2" t="s">
        <v>261</v>
      </c>
      <c r="AB186" s="2" t="s">
        <v>1347</v>
      </c>
      <c r="AC186" s="4" t="s">
        <v>117</v>
      </c>
      <c r="AD186" s="4" t="s">
        <v>118</v>
      </c>
      <c r="AE186" s="2" t="s">
        <v>1348</v>
      </c>
      <c r="AF186" s="4" t="s">
        <v>1349</v>
      </c>
      <c r="AG186" s="4" t="s">
        <v>1350</v>
      </c>
      <c r="AI186" s="2" t="s">
        <v>122</v>
      </c>
      <c r="AJ186" s="2" t="s">
        <v>1351</v>
      </c>
      <c r="AK186" s="2" t="s">
        <v>1352</v>
      </c>
      <c r="AM186" s="4" t="s">
        <v>1353</v>
      </c>
      <c r="AN186" s="4" t="s">
        <v>1354</v>
      </c>
      <c r="AO186" s="2" t="s">
        <v>1355</v>
      </c>
      <c r="AP186" s="4" t="str">
        <f t="array" ref="AP186">XLOOKUP(TRUE, CHOOSECOLS(A186:V186, 1, 4, 7, 10, 13, 16, 19, 22)&lt;&gt;"", CHOOSECOLS(A186:V186, 1, 4, 7, 10, 13, 16, 19, 22), "", 0, -1)</f>
        <v>Generate respiratory rhythm</v>
      </c>
      <c r="AR186" s="2" t="s">
        <v>270</v>
      </c>
      <c r="AS186" s="4" t="s">
        <v>227</v>
      </c>
      <c r="AT186" s="4" t="s">
        <v>1356</v>
      </c>
      <c r="AU186" s="4" t="s">
        <v>1356</v>
      </c>
      <c r="AV186" s="4" t="s">
        <v>1357</v>
      </c>
      <c r="AW186" s="4" t="s">
        <v>1358</v>
      </c>
      <c r="BF186" s="4" t="s">
        <v>1359</v>
      </c>
      <c r="BR186" s="4" t="s">
        <v>136</v>
      </c>
      <c r="BS186" s="4" t="s">
        <v>1360</v>
      </c>
      <c r="BT186" s="4">
        <v>8.0</v>
      </c>
      <c r="BU186" s="2"/>
      <c r="BV186" s="2"/>
      <c r="BW186" s="2"/>
      <c r="BX186" s="2"/>
      <c r="BY186" s="2"/>
      <c r="BZ186" s="2"/>
      <c r="CA186" s="2"/>
      <c r="CB186" s="2"/>
      <c r="CC186" s="2"/>
    </row>
    <row r="187">
      <c r="A187" s="4" t="s">
        <v>105</v>
      </c>
      <c r="B187" s="4" t="s">
        <v>105</v>
      </c>
      <c r="C187" s="4" t="s">
        <v>1336</v>
      </c>
      <c r="D187" s="4" t="s">
        <v>1337</v>
      </c>
      <c r="E187" s="4" t="s">
        <v>1338</v>
      </c>
      <c r="F187" s="4" t="s">
        <v>1339</v>
      </c>
      <c r="G187" s="4" t="s">
        <v>1340</v>
      </c>
      <c r="H187" s="4" t="s">
        <v>1341</v>
      </c>
      <c r="I187" s="4" t="s">
        <v>1342</v>
      </c>
      <c r="J187" s="4" t="s">
        <v>1343</v>
      </c>
      <c r="K187" s="4" t="s">
        <v>1344</v>
      </c>
      <c r="L187" s="4" t="s">
        <v>1345</v>
      </c>
      <c r="Z187" s="4" t="s">
        <v>1361</v>
      </c>
      <c r="AA187" s="2" t="s">
        <v>261</v>
      </c>
      <c r="AB187" s="2" t="s">
        <v>1347</v>
      </c>
      <c r="AC187" s="4" t="s">
        <v>117</v>
      </c>
      <c r="AD187" s="4" t="s">
        <v>118</v>
      </c>
      <c r="AE187" s="2" t="s">
        <v>1348</v>
      </c>
      <c r="AF187" s="4" t="s">
        <v>1349</v>
      </c>
      <c r="AG187" s="4" t="s">
        <v>1350</v>
      </c>
      <c r="AI187" s="2" t="s">
        <v>1362</v>
      </c>
      <c r="AJ187" s="2" t="s">
        <v>351</v>
      </c>
      <c r="AK187" s="2" t="s">
        <v>1323</v>
      </c>
      <c r="AL187" s="2" t="s">
        <v>117</v>
      </c>
      <c r="AM187" s="4" t="s">
        <v>1079</v>
      </c>
      <c r="AN187" s="4" t="s">
        <v>1354</v>
      </c>
      <c r="AO187" s="4" t="s">
        <v>1363</v>
      </c>
      <c r="AP187" s="4" t="str">
        <f t="array" ref="AP187">XLOOKUP(TRUE, CHOOSECOLS(A187:V187, 1, 4, 7, 10, 13, 16, 19, 22)&lt;&gt;"", CHOOSECOLS(A187:V187, 1, 4, 7, 10, 13, 16, 19, 22), "", 0, -1)</f>
        <v>Generate respiratory rhythm</v>
      </c>
      <c r="AR187" s="2" t="s">
        <v>270</v>
      </c>
      <c r="AS187" s="4" t="s">
        <v>227</v>
      </c>
      <c r="AT187" s="4" t="s">
        <v>1356</v>
      </c>
      <c r="AU187" s="4" t="s">
        <v>1356</v>
      </c>
      <c r="AV187" s="4" t="s">
        <v>1357</v>
      </c>
      <c r="AW187" s="4" t="s">
        <v>1358</v>
      </c>
      <c r="BF187" s="4" t="s">
        <v>1359</v>
      </c>
      <c r="BR187" s="4" t="s">
        <v>136</v>
      </c>
      <c r="BS187" s="4" t="s">
        <v>1360</v>
      </c>
      <c r="BT187" s="4">
        <v>8.0</v>
      </c>
      <c r="BU187" s="2"/>
      <c r="BV187" s="2"/>
      <c r="BW187" s="2"/>
      <c r="BX187" s="2"/>
      <c r="BY187" s="2"/>
      <c r="BZ187" s="2"/>
      <c r="CA187" s="2"/>
      <c r="CB187" s="2"/>
      <c r="CC187" s="2"/>
    </row>
    <row r="188">
      <c r="A188" s="4" t="s">
        <v>105</v>
      </c>
      <c r="B188" s="4" t="s">
        <v>105</v>
      </c>
      <c r="C188" s="4" t="s">
        <v>1336</v>
      </c>
      <c r="D188" s="4" t="s">
        <v>1337</v>
      </c>
      <c r="E188" s="4" t="s">
        <v>1338</v>
      </c>
      <c r="F188" s="4" t="s">
        <v>1339</v>
      </c>
      <c r="G188" s="4" t="s">
        <v>1340</v>
      </c>
      <c r="H188" s="4" t="s">
        <v>1341</v>
      </c>
      <c r="I188" s="4" t="s">
        <v>1342</v>
      </c>
      <c r="J188" s="4" t="s">
        <v>1343</v>
      </c>
      <c r="K188" s="4" t="s">
        <v>1344</v>
      </c>
      <c r="L188" s="4" t="s">
        <v>1345</v>
      </c>
      <c r="Z188" s="4" t="s">
        <v>1364</v>
      </c>
      <c r="AA188" s="2" t="s">
        <v>261</v>
      </c>
      <c r="AB188" s="2" t="s">
        <v>1347</v>
      </c>
      <c r="AC188" s="4" t="s">
        <v>117</v>
      </c>
      <c r="AD188" s="4" t="s">
        <v>118</v>
      </c>
      <c r="AE188" s="2" t="s">
        <v>1348</v>
      </c>
      <c r="AF188" s="4" t="s">
        <v>1349</v>
      </c>
      <c r="AG188" s="4" t="s">
        <v>1350</v>
      </c>
      <c r="AI188" s="2" t="s">
        <v>1362</v>
      </c>
      <c r="AJ188" s="2" t="s">
        <v>351</v>
      </c>
      <c r="AK188" s="2" t="s">
        <v>1323</v>
      </c>
      <c r="AL188" s="2" t="s">
        <v>117</v>
      </c>
      <c r="AM188" s="4" t="s">
        <v>1079</v>
      </c>
      <c r="AN188" s="4" t="s">
        <v>1354</v>
      </c>
      <c r="AO188" s="4" t="s">
        <v>1365</v>
      </c>
      <c r="AP188" s="4" t="str">
        <f t="array" ref="AP188">XLOOKUP(TRUE, CHOOSECOLS(A188:V188, 1, 4, 7, 10, 13, 16, 19, 22)&lt;&gt;"", CHOOSECOLS(A188:V188, 1, 4, 7, 10, 13, 16, 19, 22), "", 0, -1)</f>
        <v>Generate respiratory rhythm</v>
      </c>
      <c r="AR188" s="2" t="s">
        <v>270</v>
      </c>
      <c r="AS188" s="4" t="s">
        <v>227</v>
      </c>
      <c r="AT188" s="4" t="s">
        <v>1356</v>
      </c>
      <c r="AU188" s="4" t="s">
        <v>1356</v>
      </c>
      <c r="AV188" s="4" t="s">
        <v>1357</v>
      </c>
      <c r="AW188" s="4" t="s">
        <v>1358</v>
      </c>
      <c r="BF188" s="4" t="s">
        <v>1359</v>
      </c>
      <c r="BR188" s="4" t="s">
        <v>136</v>
      </c>
      <c r="BS188" s="4" t="s">
        <v>1360</v>
      </c>
      <c r="BT188" s="4">
        <v>8.0</v>
      </c>
      <c r="BU188" s="2"/>
      <c r="BV188" s="2"/>
      <c r="BW188" s="2"/>
      <c r="BX188" s="2"/>
      <c r="BY188" s="2"/>
      <c r="BZ188" s="2"/>
      <c r="CA188" s="2"/>
      <c r="CB188" s="2"/>
      <c r="CC188" s="2"/>
    </row>
    <row r="189">
      <c r="A189" s="4" t="s">
        <v>105</v>
      </c>
      <c r="B189" s="4" t="s">
        <v>105</v>
      </c>
      <c r="C189" s="4" t="s">
        <v>1366</v>
      </c>
      <c r="D189" s="4" t="s">
        <v>1337</v>
      </c>
      <c r="E189" s="4" t="s">
        <v>1338</v>
      </c>
      <c r="F189" s="4" t="s">
        <v>1339</v>
      </c>
      <c r="G189" s="4" t="s">
        <v>1340</v>
      </c>
      <c r="H189" s="4" t="s">
        <v>1341</v>
      </c>
      <c r="I189" s="4" t="s">
        <v>1367</v>
      </c>
      <c r="J189" s="4" t="s">
        <v>1368</v>
      </c>
      <c r="K189" s="4" t="s">
        <v>1344</v>
      </c>
      <c r="L189" s="4" t="s">
        <v>1345</v>
      </c>
      <c r="Z189" s="4" t="s">
        <v>1369</v>
      </c>
      <c r="AA189" s="2" t="s">
        <v>261</v>
      </c>
      <c r="AB189" s="2" t="s">
        <v>1370</v>
      </c>
      <c r="AC189" s="4" t="s">
        <v>1349</v>
      </c>
      <c r="AD189" s="4" t="s">
        <v>1350</v>
      </c>
      <c r="AE189" s="2" t="s">
        <v>1371</v>
      </c>
      <c r="AF189" s="4" t="s">
        <v>1349</v>
      </c>
      <c r="AG189" s="4" t="s">
        <v>1350</v>
      </c>
      <c r="AI189" s="4" t="s">
        <v>122</v>
      </c>
      <c r="AJ189" s="2" t="s">
        <v>1372</v>
      </c>
      <c r="AK189" s="4" t="s">
        <v>1373</v>
      </c>
      <c r="AL189" s="4" t="s">
        <v>1374</v>
      </c>
      <c r="AM189" s="4" t="s">
        <v>266</v>
      </c>
      <c r="AN189" s="4" t="s">
        <v>1375</v>
      </c>
      <c r="AO189" s="4" t="s">
        <v>1376</v>
      </c>
      <c r="AP189" s="4" t="str">
        <f t="array" ref="AP189">XLOOKUP(TRUE, CHOOSECOLS(A189:V189, 1, 4, 7, 10, 13, 16, 19, 22)&lt;&gt;"", CHOOSECOLS(A189:V189, 1, 4, 7, 10, 13, 16, 19, 22), "", 0, -1)</f>
        <v>Modulate rhythm duration</v>
      </c>
      <c r="AR189" s="2" t="s">
        <v>270</v>
      </c>
      <c r="AS189" s="4" t="s">
        <v>227</v>
      </c>
      <c r="AT189" s="4" t="s">
        <v>1377</v>
      </c>
      <c r="AU189" s="4" t="s">
        <v>1378</v>
      </c>
      <c r="AV189" s="4" t="s">
        <v>1379</v>
      </c>
      <c r="AW189" s="4" t="s">
        <v>1380</v>
      </c>
      <c r="AX189" s="4" t="s">
        <v>1381</v>
      </c>
      <c r="AY189" s="4" t="s">
        <v>1382</v>
      </c>
      <c r="BF189" s="4" t="s">
        <v>1383</v>
      </c>
      <c r="BR189" s="4" t="s">
        <v>136</v>
      </c>
      <c r="BS189" s="4" t="s">
        <v>1384</v>
      </c>
      <c r="BT189" s="4">
        <v>8.0</v>
      </c>
      <c r="BU189" s="2"/>
      <c r="BV189" s="2"/>
      <c r="BW189" s="2"/>
      <c r="BX189" s="2"/>
      <c r="BY189" s="2"/>
      <c r="BZ189" s="2"/>
      <c r="CA189" s="2"/>
      <c r="CB189" s="2"/>
      <c r="CC189" s="2"/>
    </row>
    <row r="190">
      <c r="A190" s="4" t="s">
        <v>105</v>
      </c>
      <c r="B190" s="4" t="s">
        <v>105</v>
      </c>
      <c r="C190" s="4" t="s">
        <v>1366</v>
      </c>
      <c r="D190" s="4" t="s">
        <v>1337</v>
      </c>
      <c r="E190" s="4" t="s">
        <v>1338</v>
      </c>
      <c r="F190" s="4" t="s">
        <v>1339</v>
      </c>
      <c r="G190" s="4" t="s">
        <v>1340</v>
      </c>
      <c r="H190" s="4" t="s">
        <v>1341</v>
      </c>
      <c r="I190" s="4" t="s">
        <v>1367</v>
      </c>
      <c r="J190" s="4" t="s">
        <v>1368</v>
      </c>
      <c r="K190" s="4" t="s">
        <v>1344</v>
      </c>
      <c r="L190" s="4" t="s">
        <v>1345</v>
      </c>
      <c r="Z190" s="4" t="s">
        <v>1385</v>
      </c>
      <c r="AA190" s="2" t="s">
        <v>261</v>
      </c>
      <c r="AB190" s="2" t="s">
        <v>1370</v>
      </c>
      <c r="AC190" s="4" t="s">
        <v>1349</v>
      </c>
      <c r="AD190" s="4" t="s">
        <v>1350</v>
      </c>
      <c r="AE190" s="2" t="s">
        <v>1371</v>
      </c>
      <c r="AF190" s="4" t="s">
        <v>1349</v>
      </c>
      <c r="AG190" s="4" t="s">
        <v>1350</v>
      </c>
      <c r="AI190" s="4" t="s">
        <v>122</v>
      </c>
      <c r="AJ190" s="2" t="s">
        <v>1386</v>
      </c>
      <c r="AK190" s="4" t="s">
        <v>1387</v>
      </c>
      <c r="AL190" s="4" t="s">
        <v>1388</v>
      </c>
      <c r="AM190" s="4" t="s">
        <v>266</v>
      </c>
      <c r="AN190" s="4" t="s">
        <v>1375</v>
      </c>
      <c r="AO190" s="4" t="s">
        <v>1389</v>
      </c>
      <c r="AP190" s="4" t="str">
        <f t="array" ref="AP190">XLOOKUP(TRUE, CHOOSECOLS(A190:V190, 1, 4, 7, 10, 13, 16, 19, 22)&lt;&gt;"", CHOOSECOLS(A190:V190, 1, 4, 7, 10, 13, 16, 19, 22), "", 0, -1)</f>
        <v>Modulate rhythm duration</v>
      </c>
      <c r="AR190" s="2" t="s">
        <v>270</v>
      </c>
      <c r="AS190" s="4" t="s">
        <v>227</v>
      </c>
      <c r="AT190" s="4" t="s">
        <v>1377</v>
      </c>
      <c r="AU190" s="4" t="s">
        <v>1378</v>
      </c>
      <c r="AV190" s="4" t="s">
        <v>1379</v>
      </c>
      <c r="AW190" s="4" t="s">
        <v>1380</v>
      </c>
      <c r="AX190" s="4" t="s">
        <v>1381</v>
      </c>
      <c r="AY190" s="4" t="s">
        <v>1382</v>
      </c>
      <c r="BF190" s="4" t="s">
        <v>1383</v>
      </c>
      <c r="BR190" s="4" t="s">
        <v>136</v>
      </c>
      <c r="BS190" s="4" t="s">
        <v>1384</v>
      </c>
      <c r="BT190" s="4">
        <v>8.0</v>
      </c>
      <c r="BU190" s="2"/>
      <c r="BV190" s="2"/>
      <c r="BW190" s="2"/>
      <c r="BX190" s="2"/>
      <c r="BY190" s="2"/>
      <c r="BZ190" s="2"/>
      <c r="CA190" s="2"/>
      <c r="CB190" s="2"/>
      <c r="CC190" s="2"/>
    </row>
    <row r="191">
      <c r="A191" s="4" t="s">
        <v>105</v>
      </c>
      <c r="B191" s="4" t="s">
        <v>105</v>
      </c>
      <c r="C191" s="4" t="s">
        <v>1366</v>
      </c>
      <c r="D191" s="4" t="s">
        <v>1337</v>
      </c>
      <c r="E191" s="4" t="s">
        <v>1338</v>
      </c>
      <c r="F191" s="4" t="s">
        <v>1339</v>
      </c>
      <c r="G191" s="4" t="s">
        <v>1340</v>
      </c>
      <c r="H191" s="4" t="s">
        <v>1341</v>
      </c>
      <c r="I191" s="4" t="s">
        <v>1367</v>
      </c>
      <c r="J191" s="4" t="s">
        <v>1368</v>
      </c>
      <c r="K191" s="4" t="s">
        <v>1344</v>
      </c>
      <c r="L191" s="4" t="s">
        <v>1345</v>
      </c>
      <c r="Z191" s="4" t="s">
        <v>1390</v>
      </c>
      <c r="AA191" s="2" t="s">
        <v>261</v>
      </c>
      <c r="AB191" s="2" t="s">
        <v>1370</v>
      </c>
      <c r="AC191" s="4" t="s">
        <v>1349</v>
      </c>
      <c r="AD191" s="4" t="s">
        <v>1350</v>
      </c>
      <c r="AE191" s="2" t="s">
        <v>1371</v>
      </c>
      <c r="AF191" s="4" t="s">
        <v>1349</v>
      </c>
      <c r="AG191" s="4" t="s">
        <v>1350</v>
      </c>
      <c r="AI191" s="4" t="s">
        <v>122</v>
      </c>
      <c r="AJ191" s="2" t="s">
        <v>1391</v>
      </c>
      <c r="AK191" s="2" t="s">
        <v>1392</v>
      </c>
      <c r="AL191" s="2"/>
      <c r="AM191" s="4" t="s">
        <v>1393</v>
      </c>
      <c r="AN191" s="4" t="s">
        <v>1375</v>
      </c>
      <c r="AO191" s="2" t="s">
        <v>1394</v>
      </c>
      <c r="AP191" s="4" t="str">
        <f t="array" ref="AP191">XLOOKUP(TRUE, CHOOSECOLS(A191:V191, 1, 4, 7, 10, 13, 16, 19, 22)&lt;&gt;"", CHOOSECOLS(A191:V191, 1, 4, 7, 10, 13, 16, 19, 22), "", 0, -1)</f>
        <v>Modulate rhythm duration</v>
      </c>
      <c r="AR191" s="2" t="s">
        <v>270</v>
      </c>
      <c r="AS191" s="4" t="s">
        <v>227</v>
      </c>
      <c r="AT191" s="4" t="s">
        <v>1377</v>
      </c>
      <c r="AU191" s="4" t="s">
        <v>1378</v>
      </c>
      <c r="AV191" s="4" t="s">
        <v>1379</v>
      </c>
      <c r="AW191" s="4" t="s">
        <v>1380</v>
      </c>
      <c r="AX191" s="4" t="s">
        <v>1381</v>
      </c>
      <c r="AY191" s="4" t="s">
        <v>1382</v>
      </c>
      <c r="BF191" s="4" t="s">
        <v>1383</v>
      </c>
      <c r="BR191" s="4" t="s">
        <v>136</v>
      </c>
      <c r="BS191" s="4" t="s">
        <v>1384</v>
      </c>
      <c r="BT191" s="4">
        <v>8.0</v>
      </c>
      <c r="BU191" s="2"/>
      <c r="BV191" s="2"/>
      <c r="BW191" s="2"/>
      <c r="BX191" s="2"/>
      <c r="BY191" s="2"/>
      <c r="BZ191" s="2"/>
      <c r="CA191" s="2"/>
      <c r="CB191" s="2"/>
      <c r="CC191" s="2"/>
    </row>
    <row r="192">
      <c r="A192" s="4" t="s">
        <v>105</v>
      </c>
      <c r="B192" s="4" t="s">
        <v>105</v>
      </c>
      <c r="C192" s="4" t="s">
        <v>1395</v>
      </c>
      <c r="D192" s="4" t="s">
        <v>1337</v>
      </c>
      <c r="E192" s="4" t="s">
        <v>1338</v>
      </c>
      <c r="F192" s="4" t="s">
        <v>1339</v>
      </c>
      <c r="G192" s="4" t="s">
        <v>1340</v>
      </c>
      <c r="H192" s="4" t="s">
        <v>1341</v>
      </c>
      <c r="I192" s="4" t="s">
        <v>1396</v>
      </c>
      <c r="J192" s="4" t="s">
        <v>1397</v>
      </c>
      <c r="K192" s="4" t="s">
        <v>108</v>
      </c>
      <c r="L192" s="4" t="s">
        <v>1043</v>
      </c>
      <c r="Z192" s="4" t="s">
        <v>1398</v>
      </c>
      <c r="AA192" s="2" t="s">
        <v>509</v>
      </c>
      <c r="AB192" s="4" t="s">
        <v>116</v>
      </c>
      <c r="AC192" s="4" t="s">
        <v>117</v>
      </c>
      <c r="AD192" s="4" t="s">
        <v>118</v>
      </c>
      <c r="AE192" s="2" t="s">
        <v>1399</v>
      </c>
      <c r="AF192" s="4" t="s">
        <v>1400</v>
      </c>
      <c r="AG192" s="2" t="s">
        <v>1401</v>
      </c>
      <c r="AI192" s="4" t="s">
        <v>122</v>
      </c>
      <c r="AJ192" s="2" t="s">
        <v>1402</v>
      </c>
      <c r="AK192" s="4" t="s">
        <v>1403</v>
      </c>
      <c r="AL192" s="4" t="s">
        <v>1404</v>
      </c>
      <c r="AN192" s="4" t="s">
        <v>1405</v>
      </c>
      <c r="AO192" s="4" t="s">
        <v>1406</v>
      </c>
      <c r="AP192" s="4" t="str">
        <f t="array" ref="AP192">XLOOKUP(TRUE, CHOOSECOLS(A192:V192, 1, 4, 7, 10, 13, 16, 19, 22)&lt;&gt;"", CHOOSECOLS(A192:V192, 1, 4, 7, 10, 13, 16, 19, 22), "", 0, -1)</f>
        <v>Voluntary control of breathing</v>
      </c>
      <c r="AR192" s="2" t="s">
        <v>518</v>
      </c>
      <c r="AS192" s="4" t="s">
        <v>130</v>
      </c>
      <c r="AT192" s="4" t="s">
        <v>131</v>
      </c>
      <c r="AW192" s="4" t="s">
        <v>1407</v>
      </c>
      <c r="BF192" s="4" t="s">
        <v>1408</v>
      </c>
      <c r="BR192" s="4" t="s">
        <v>136</v>
      </c>
      <c r="BS192" s="4" t="s">
        <v>1409</v>
      </c>
      <c r="BT192" s="4">
        <v>8.0</v>
      </c>
      <c r="BU192" s="2"/>
      <c r="BV192" s="2"/>
      <c r="BW192" s="2"/>
      <c r="BX192" s="2"/>
      <c r="BY192" s="2"/>
      <c r="BZ192" s="2"/>
      <c r="CA192" s="2"/>
      <c r="CB192" s="2"/>
      <c r="CC192" s="2"/>
    </row>
    <row r="193">
      <c r="A193" s="4" t="s">
        <v>105</v>
      </c>
      <c r="B193" s="4" t="s">
        <v>105</v>
      </c>
      <c r="C193" s="4" t="s">
        <v>1395</v>
      </c>
      <c r="D193" s="4" t="s">
        <v>1337</v>
      </c>
      <c r="E193" s="4" t="s">
        <v>1338</v>
      </c>
      <c r="F193" s="4" t="s">
        <v>1339</v>
      </c>
      <c r="G193" s="4" t="s">
        <v>1340</v>
      </c>
      <c r="H193" s="4" t="s">
        <v>1341</v>
      </c>
      <c r="I193" s="4" t="s">
        <v>1396</v>
      </c>
      <c r="J193" s="4" t="s">
        <v>1397</v>
      </c>
      <c r="K193" s="4" t="s">
        <v>108</v>
      </c>
      <c r="L193" s="4" t="s">
        <v>1043</v>
      </c>
      <c r="Z193" s="4" t="s">
        <v>1410</v>
      </c>
      <c r="AA193" s="2" t="s">
        <v>261</v>
      </c>
      <c r="AB193" s="4" t="s">
        <v>116</v>
      </c>
      <c r="AC193" s="4" t="s">
        <v>117</v>
      </c>
      <c r="AD193" s="4" t="s">
        <v>118</v>
      </c>
      <c r="AE193" s="2" t="s">
        <v>1411</v>
      </c>
      <c r="AF193" s="4" t="s">
        <v>1412</v>
      </c>
      <c r="AG193" s="4" t="s">
        <v>1413</v>
      </c>
      <c r="AH193" s="2" t="s">
        <v>1414</v>
      </c>
      <c r="AI193" s="4" t="s">
        <v>122</v>
      </c>
      <c r="AJ193" s="2" t="s">
        <v>1415</v>
      </c>
      <c r="AK193" s="4" t="s">
        <v>1416</v>
      </c>
      <c r="AM193" s="4" t="s">
        <v>126</v>
      </c>
      <c r="AN193" s="4" t="s">
        <v>1405</v>
      </c>
      <c r="AO193" s="2" t="s">
        <v>1417</v>
      </c>
      <c r="AP193" s="4" t="str">
        <f t="array" ref="AP193">XLOOKUP(TRUE, CHOOSECOLS(A193:V193, 1, 4, 7, 10, 13, 16, 19, 22)&lt;&gt;"", CHOOSECOLS(A193:V193, 1, 4, 7, 10, 13, 16, 19, 22), "", 0, -1)</f>
        <v>Voluntary control of breathing</v>
      </c>
      <c r="AQ193" s="4" t="s">
        <v>269</v>
      </c>
      <c r="AR193" s="2" t="s">
        <v>270</v>
      </c>
      <c r="AS193" s="4" t="s">
        <v>130</v>
      </c>
      <c r="AT193" s="4" t="s">
        <v>131</v>
      </c>
      <c r="AW193" s="4" t="s">
        <v>1407</v>
      </c>
      <c r="BF193" s="4" t="s">
        <v>1408</v>
      </c>
      <c r="BR193" s="4" t="s">
        <v>136</v>
      </c>
      <c r="BS193" s="4" t="s">
        <v>1409</v>
      </c>
      <c r="BT193" s="4">
        <v>8.0</v>
      </c>
      <c r="BU193" s="2"/>
      <c r="BV193" s="2"/>
      <c r="BW193" s="2"/>
      <c r="BX193" s="2"/>
      <c r="BY193" s="2"/>
      <c r="BZ193" s="2"/>
      <c r="CA193" s="2"/>
      <c r="CB193" s="2"/>
      <c r="CC193" s="2"/>
    </row>
    <row r="194">
      <c r="A194" s="4" t="s">
        <v>105</v>
      </c>
      <c r="B194" s="4" t="s">
        <v>105</v>
      </c>
      <c r="C194" s="4" t="s">
        <v>1395</v>
      </c>
      <c r="D194" s="4" t="s">
        <v>1337</v>
      </c>
      <c r="E194" s="4" t="s">
        <v>1338</v>
      </c>
      <c r="F194" s="4" t="s">
        <v>1339</v>
      </c>
      <c r="G194" s="4" t="s">
        <v>1340</v>
      </c>
      <c r="H194" s="4" t="s">
        <v>1341</v>
      </c>
      <c r="I194" s="4" t="s">
        <v>1396</v>
      </c>
      <c r="J194" s="4" t="s">
        <v>1397</v>
      </c>
      <c r="K194" s="4" t="s">
        <v>108</v>
      </c>
      <c r="L194" s="4" t="s">
        <v>1043</v>
      </c>
      <c r="Z194" s="4" t="s">
        <v>1410</v>
      </c>
      <c r="AA194" s="2" t="s">
        <v>261</v>
      </c>
      <c r="AB194" s="4" t="s">
        <v>116</v>
      </c>
      <c r="AC194" s="4" t="s">
        <v>117</v>
      </c>
      <c r="AD194" s="4" t="s">
        <v>118</v>
      </c>
      <c r="AE194" s="2" t="s">
        <v>1411</v>
      </c>
      <c r="AF194" s="4" t="s">
        <v>1412</v>
      </c>
      <c r="AG194" s="4" t="s">
        <v>1413</v>
      </c>
      <c r="AH194" s="2" t="s">
        <v>1414</v>
      </c>
      <c r="AI194" s="4" t="s">
        <v>122</v>
      </c>
      <c r="AJ194" s="2" t="s">
        <v>1418</v>
      </c>
      <c r="AK194" s="2" t="s">
        <v>967</v>
      </c>
      <c r="AN194" s="4" t="s">
        <v>1405</v>
      </c>
      <c r="AO194" s="2" t="s">
        <v>1417</v>
      </c>
      <c r="AP194" s="4" t="str">
        <f t="array" ref="AP194">XLOOKUP(TRUE, CHOOSECOLS(A194:V194, 1, 4, 7, 10, 13, 16, 19, 22)&lt;&gt;"", CHOOSECOLS(A194:V194, 1, 4, 7, 10, 13, 16, 19, 22), "", 0, -1)</f>
        <v>Voluntary control of breathing</v>
      </c>
      <c r="AQ194" s="4" t="s">
        <v>269</v>
      </c>
      <c r="AR194" s="2" t="s">
        <v>270</v>
      </c>
      <c r="AS194" s="4" t="s">
        <v>130</v>
      </c>
      <c r="AT194" s="4" t="s">
        <v>131</v>
      </c>
      <c r="AW194" s="4" t="s">
        <v>1407</v>
      </c>
      <c r="BF194" s="4" t="s">
        <v>1408</v>
      </c>
      <c r="BR194" s="4" t="s">
        <v>136</v>
      </c>
      <c r="BS194" s="4" t="s">
        <v>1409</v>
      </c>
      <c r="BT194" s="4">
        <v>8.0</v>
      </c>
      <c r="BU194" s="2"/>
      <c r="BV194" s="2"/>
      <c r="BW194" s="2"/>
      <c r="BX194" s="2"/>
      <c r="BY194" s="2"/>
      <c r="BZ194" s="2"/>
      <c r="CA194" s="2"/>
      <c r="CB194" s="2"/>
      <c r="CC194" s="2"/>
    </row>
    <row r="195" ht="13.5" customHeight="1">
      <c r="A195" s="4" t="s">
        <v>105</v>
      </c>
      <c r="B195" s="4" t="s">
        <v>105</v>
      </c>
      <c r="C195" s="4" t="s">
        <v>1395</v>
      </c>
      <c r="D195" s="4" t="s">
        <v>1337</v>
      </c>
      <c r="E195" s="4" t="s">
        <v>1338</v>
      </c>
      <c r="F195" s="4" t="s">
        <v>1339</v>
      </c>
      <c r="G195" s="4" t="s">
        <v>1340</v>
      </c>
      <c r="H195" s="4" t="s">
        <v>1341</v>
      </c>
      <c r="I195" s="4" t="s">
        <v>1396</v>
      </c>
      <c r="J195" s="4" t="s">
        <v>1397</v>
      </c>
      <c r="K195" s="4" t="s">
        <v>108</v>
      </c>
      <c r="L195" s="4" t="s">
        <v>1043</v>
      </c>
      <c r="Z195" s="4" t="s">
        <v>1419</v>
      </c>
      <c r="AA195" s="2" t="s">
        <v>261</v>
      </c>
      <c r="AB195" s="4" t="s">
        <v>116</v>
      </c>
      <c r="AC195" s="4" t="s">
        <v>117</v>
      </c>
      <c r="AD195" s="4" t="s">
        <v>118</v>
      </c>
      <c r="AE195" s="2" t="s">
        <v>1411</v>
      </c>
      <c r="AF195" s="4" t="s">
        <v>1412</v>
      </c>
      <c r="AG195" s="4" t="s">
        <v>1413</v>
      </c>
      <c r="AH195" s="4" t="s">
        <v>1420</v>
      </c>
      <c r="AI195" s="4" t="s">
        <v>122</v>
      </c>
      <c r="AJ195" s="2" t="s">
        <v>1418</v>
      </c>
      <c r="AM195" s="4" t="s">
        <v>126</v>
      </c>
      <c r="AN195" s="4" t="s">
        <v>1405</v>
      </c>
      <c r="AO195" s="4" t="s">
        <v>1421</v>
      </c>
      <c r="AP195" s="4" t="str">
        <f t="array" ref="AP195">XLOOKUP(TRUE, CHOOSECOLS(A195:V195, 1, 4, 7, 10, 13, 16, 19, 22)&lt;&gt;"", CHOOSECOLS(A195:V195, 1, 4, 7, 10, 13, 16, 19, 22), "", 0, -1)</f>
        <v>Voluntary control of breathing</v>
      </c>
      <c r="AQ195" s="4" t="s">
        <v>269</v>
      </c>
      <c r="AR195" s="2" t="s">
        <v>270</v>
      </c>
      <c r="AS195" s="4" t="s">
        <v>130</v>
      </c>
      <c r="AT195" s="4" t="s">
        <v>131</v>
      </c>
      <c r="AW195" s="4" t="s">
        <v>1407</v>
      </c>
      <c r="BF195" s="4" t="s">
        <v>1408</v>
      </c>
      <c r="BR195" s="4" t="s">
        <v>136</v>
      </c>
      <c r="BS195" s="4" t="s">
        <v>1409</v>
      </c>
      <c r="BT195" s="4">
        <v>8.0</v>
      </c>
      <c r="BU195" s="2"/>
      <c r="BV195" s="2"/>
      <c r="BW195" s="2"/>
      <c r="BX195" s="2"/>
      <c r="BY195" s="2"/>
      <c r="BZ195" s="2"/>
      <c r="CA195" s="2"/>
      <c r="CB195" s="2"/>
      <c r="CC195" s="2"/>
    </row>
    <row r="196">
      <c r="A196" s="4" t="s">
        <v>105</v>
      </c>
      <c r="B196" s="4" t="s">
        <v>105</v>
      </c>
      <c r="C196" s="4" t="s">
        <v>1422</v>
      </c>
      <c r="D196" s="4" t="s">
        <v>1337</v>
      </c>
      <c r="E196" s="4" t="s">
        <v>1338</v>
      </c>
      <c r="F196" s="4" t="s">
        <v>1339</v>
      </c>
      <c r="G196" s="4" t="s">
        <v>1340</v>
      </c>
      <c r="H196" s="4" t="s">
        <v>1341</v>
      </c>
      <c r="I196" s="4" t="s">
        <v>1423</v>
      </c>
      <c r="J196" s="4" t="s">
        <v>1424</v>
      </c>
      <c r="Z196" s="4" t="s">
        <v>1425</v>
      </c>
      <c r="AA196" s="2" t="s">
        <v>261</v>
      </c>
      <c r="AB196" s="4" t="s">
        <v>116</v>
      </c>
      <c r="AC196" s="4" t="s">
        <v>117</v>
      </c>
      <c r="AD196" s="4" t="s">
        <v>118</v>
      </c>
      <c r="AE196" s="2" t="s">
        <v>1426</v>
      </c>
      <c r="AF196" s="4" t="s">
        <v>1427</v>
      </c>
      <c r="AG196" s="4" t="s">
        <v>1428</v>
      </c>
      <c r="AH196" s="4" t="s">
        <v>1429</v>
      </c>
      <c r="AI196" s="4" t="s">
        <v>122</v>
      </c>
      <c r="AJ196" s="2" t="s">
        <v>1152</v>
      </c>
      <c r="AK196" s="4" t="s">
        <v>1430</v>
      </c>
      <c r="AN196" s="4" t="s">
        <v>1431</v>
      </c>
      <c r="AO196" s="2" t="s">
        <v>1432</v>
      </c>
      <c r="AP196" s="4" t="str">
        <f t="array" ref="AP196">XLOOKUP(TRUE, CHOOSECOLS(A196:V196, 1, 4, 7, 10, 13, 16, 19, 22)&lt;&gt;"", CHOOSECOLS(A196:V196, 1, 4, 7, 10, 13, 16, 19, 22), "", 0, -1)</f>
        <v>Emotional modulation</v>
      </c>
      <c r="AQ196" s="4" t="s">
        <v>269</v>
      </c>
      <c r="AR196" s="2" t="s">
        <v>270</v>
      </c>
      <c r="AS196" s="4" t="s">
        <v>227</v>
      </c>
      <c r="AT196" s="4" t="s">
        <v>1433</v>
      </c>
      <c r="BF196" s="4" t="s">
        <v>1434</v>
      </c>
      <c r="BR196" s="4" t="s">
        <v>136</v>
      </c>
      <c r="BS196" s="4" t="s">
        <v>1435</v>
      </c>
      <c r="BT196" s="4">
        <v>8.0</v>
      </c>
      <c r="BU196" s="2"/>
      <c r="BV196" s="2"/>
      <c r="BW196" s="2"/>
      <c r="BX196" s="2"/>
      <c r="BY196" s="2"/>
      <c r="BZ196" s="2"/>
      <c r="CA196" s="2"/>
      <c r="CB196" s="2"/>
      <c r="CC196" s="2"/>
    </row>
    <row r="197">
      <c r="A197" s="4" t="s">
        <v>105</v>
      </c>
      <c r="B197" s="4" t="s">
        <v>105</v>
      </c>
      <c r="C197" s="4" t="s">
        <v>1422</v>
      </c>
      <c r="D197" s="4" t="s">
        <v>1337</v>
      </c>
      <c r="E197" s="4" t="s">
        <v>1338</v>
      </c>
      <c r="F197" s="4" t="s">
        <v>1339</v>
      </c>
      <c r="G197" s="4" t="s">
        <v>1340</v>
      </c>
      <c r="H197" s="4" t="s">
        <v>1341</v>
      </c>
      <c r="I197" s="4" t="s">
        <v>1423</v>
      </c>
      <c r="J197" s="4" t="s">
        <v>1424</v>
      </c>
      <c r="Z197" s="4" t="s">
        <v>1436</v>
      </c>
      <c r="AA197" s="2" t="s">
        <v>261</v>
      </c>
      <c r="AB197" s="4" t="s">
        <v>116</v>
      </c>
      <c r="AC197" s="4" t="s">
        <v>117</v>
      </c>
      <c r="AD197" s="4" t="s">
        <v>118</v>
      </c>
      <c r="AE197" s="2" t="s">
        <v>1426</v>
      </c>
      <c r="AF197" s="4" t="s">
        <v>1427</v>
      </c>
      <c r="AG197" s="4" t="s">
        <v>1428</v>
      </c>
      <c r="AH197" s="2" t="s">
        <v>1437</v>
      </c>
      <c r="AI197" s="4" t="s">
        <v>122</v>
      </c>
      <c r="AJ197" s="2" t="s">
        <v>1438</v>
      </c>
      <c r="AK197" s="2" t="s">
        <v>1439</v>
      </c>
      <c r="AL197" s="2" t="s">
        <v>1440</v>
      </c>
      <c r="AM197" s="4" t="s">
        <v>266</v>
      </c>
      <c r="AN197" s="4" t="s">
        <v>1431</v>
      </c>
      <c r="AO197" s="2" t="s">
        <v>1441</v>
      </c>
      <c r="AP197" s="4" t="str">
        <f t="array" ref="AP197">XLOOKUP(TRUE, CHOOSECOLS(A197:V197, 1, 4, 7, 10, 13, 16, 19, 22)&lt;&gt;"", CHOOSECOLS(A197:V197, 1, 4, 7, 10, 13, 16, 19, 22), "", 0, -1)</f>
        <v>Emotional modulation</v>
      </c>
      <c r="AQ197" s="4" t="s">
        <v>269</v>
      </c>
      <c r="AR197" s="2" t="s">
        <v>270</v>
      </c>
      <c r="AS197" s="4" t="s">
        <v>227</v>
      </c>
      <c r="AT197" s="4" t="s">
        <v>1433</v>
      </c>
      <c r="BF197" s="4" t="s">
        <v>1434</v>
      </c>
      <c r="BR197" s="4" t="s">
        <v>136</v>
      </c>
      <c r="BS197" s="4" t="s">
        <v>1435</v>
      </c>
      <c r="BT197" s="4">
        <v>8.0</v>
      </c>
      <c r="BU197" s="2"/>
      <c r="BV197" s="2"/>
      <c r="BW197" s="2"/>
      <c r="BX197" s="2"/>
      <c r="BY197" s="2"/>
      <c r="BZ197" s="2"/>
      <c r="CA197" s="2"/>
      <c r="CB197" s="2"/>
      <c r="CC197" s="2"/>
    </row>
    <row r="198">
      <c r="A198" s="4" t="s">
        <v>105</v>
      </c>
      <c r="B198" s="4" t="s">
        <v>105</v>
      </c>
      <c r="C198" s="4" t="s">
        <v>1422</v>
      </c>
      <c r="D198" s="4" t="s">
        <v>1337</v>
      </c>
      <c r="E198" s="4" t="s">
        <v>1338</v>
      </c>
      <c r="F198" s="4" t="s">
        <v>1339</v>
      </c>
      <c r="G198" s="4" t="s">
        <v>1340</v>
      </c>
      <c r="H198" s="4" t="s">
        <v>1341</v>
      </c>
      <c r="I198" s="4" t="s">
        <v>1423</v>
      </c>
      <c r="J198" s="4" t="s">
        <v>1424</v>
      </c>
      <c r="Z198" s="4" t="s">
        <v>1442</v>
      </c>
      <c r="AA198" s="2" t="s">
        <v>261</v>
      </c>
      <c r="AB198" s="4" t="s">
        <v>116</v>
      </c>
      <c r="AC198" s="4" t="s">
        <v>117</v>
      </c>
      <c r="AD198" s="4" t="s">
        <v>118</v>
      </c>
      <c r="AE198" s="2" t="s">
        <v>1426</v>
      </c>
      <c r="AF198" s="4" t="s">
        <v>1427</v>
      </c>
      <c r="AG198" s="4" t="s">
        <v>1428</v>
      </c>
      <c r="AH198" s="2" t="s">
        <v>1443</v>
      </c>
      <c r="AI198" s="2" t="s">
        <v>312</v>
      </c>
      <c r="AJ198" s="2" t="s">
        <v>394</v>
      </c>
      <c r="AK198" s="2" t="s">
        <v>1444</v>
      </c>
      <c r="AM198" s="4" t="s">
        <v>1353</v>
      </c>
      <c r="AN198" s="4" t="s">
        <v>1431</v>
      </c>
      <c r="AO198" s="4" t="s">
        <v>1445</v>
      </c>
      <c r="AP198" s="4" t="str">
        <f t="array" ref="AP198">XLOOKUP(TRUE, CHOOSECOLS(A198:V198, 1, 4, 7, 10, 13, 16, 19, 22)&lt;&gt;"", CHOOSECOLS(A198:V198, 1, 4, 7, 10, 13, 16, 19, 22), "", 0, -1)</f>
        <v>Emotional modulation</v>
      </c>
      <c r="AQ198" s="4" t="s">
        <v>269</v>
      </c>
      <c r="AR198" s="2" t="s">
        <v>270</v>
      </c>
      <c r="AS198" s="4" t="s">
        <v>227</v>
      </c>
      <c r="AT198" s="4" t="s">
        <v>1433</v>
      </c>
      <c r="BF198" s="4" t="s">
        <v>1434</v>
      </c>
      <c r="BR198" s="4" t="s">
        <v>136</v>
      </c>
      <c r="BS198" s="4" t="s">
        <v>1435</v>
      </c>
      <c r="BT198" s="4">
        <v>8.0</v>
      </c>
      <c r="BU198" s="2"/>
      <c r="BV198" s="2"/>
      <c r="BW198" s="2"/>
      <c r="BX198" s="2"/>
      <c r="BY198" s="2"/>
      <c r="BZ198" s="2"/>
      <c r="CA198" s="2"/>
      <c r="CB198" s="2"/>
      <c r="CC198" s="2"/>
    </row>
    <row r="199" ht="13.5" customHeight="1">
      <c r="A199" s="4" t="s">
        <v>105</v>
      </c>
      <c r="B199" s="4" t="s">
        <v>105</v>
      </c>
      <c r="C199" s="4" t="s">
        <v>1446</v>
      </c>
      <c r="D199" s="4" t="s">
        <v>1337</v>
      </c>
      <c r="E199" s="4" t="s">
        <v>1338</v>
      </c>
      <c r="F199" s="4" t="s">
        <v>1339</v>
      </c>
      <c r="G199" s="4" t="s">
        <v>1340</v>
      </c>
      <c r="H199" s="4" t="s">
        <v>1341</v>
      </c>
      <c r="I199" s="4" t="s">
        <v>1447</v>
      </c>
      <c r="J199" s="4" t="s">
        <v>1448</v>
      </c>
      <c r="K199" s="4" t="s">
        <v>1449</v>
      </c>
      <c r="L199" s="4" t="s">
        <v>1450</v>
      </c>
      <c r="Z199" s="4" t="s">
        <v>1451</v>
      </c>
      <c r="AA199" s="2" t="s">
        <v>261</v>
      </c>
      <c r="AB199" s="4" t="s">
        <v>116</v>
      </c>
      <c r="AC199" s="4" t="s">
        <v>117</v>
      </c>
      <c r="AD199" s="4" t="s">
        <v>118</v>
      </c>
      <c r="AE199" s="2" t="s">
        <v>1452</v>
      </c>
      <c r="AF199" s="4" t="s">
        <v>1453</v>
      </c>
      <c r="AG199" s="4" t="s">
        <v>1454</v>
      </c>
      <c r="AI199" s="4" t="s">
        <v>122</v>
      </c>
      <c r="AJ199" s="2" t="s">
        <v>351</v>
      </c>
      <c r="AK199" s="2" t="s">
        <v>1323</v>
      </c>
      <c r="AL199" s="2" t="s">
        <v>117</v>
      </c>
      <c r="AM199" s="4" t="s">
        <v>182</v>
      </c>
      <c r="AN199" s="4" t="s">
        <v>1455</v>
      </c>
      <c r="AO199" s="2" t="s">
        <v>1456</v>
      </c>
      <c r="AP199" s="4" t="str">
        <f t="array" ref="AP199">XLOOKUP(TRUE, CHOOSECOLS(A199:V199, 1, 4, 7, 10, 13, 16, 19, 22)&lt;&gt;"", CHOOSECOLS(A199:V199, 1, 4, 7, 10, 13, 16, 19, 22), "", 0, -1)</f>
        <v>Coordinate respiratory muscles</v>
      </c>
      <c r="AR199" s="2" t="s">
        <v>270</v>
      </c>
      <c r="AS199" s="4" t="s">
        <v>227</v>
      </c>
      <c r="AT199" s="4" t="s">
        <v>1457</v>
      </c>
      <c r="AU199" s="4" t="s">
        <v>1458</v>
      </c>
      <c r="AV199" s="4" t="s">
        <v>1459</v>
      </c>
      <c r="BF199" s="4" t="s">
        <v>1460</v>
      </c>
      <c r="BR199" s="4" t="s">
        <v>136</v>
      </c>
      <c r="BS199" s="4" t="s">
        <v>1461</v>
      </c>
      <c r="BT199" s="4">
        <v>8.0</v>
      </c>
      <c r="BU199" s="2"/>
      <c r="BV199" s="2"/>
      <c r="BW199" s="2"/>
      <c r="BX199" s="2"/>
      <c r="BY199" s="2"/>
      <c r="BZ199" s="2"/>
      <c r="CA199" s="2"/>
      <c r="CB199" s="2"/>
      <c r="CC199" s="2"/>
    </row>
    <row r="200">
      <c r="A200" s="4" t="s">
        <v>105</v>
      </c>
      <c r="B200" s="4" t="s">
        <v>105</v>
      </c>
      <c r="C200" s="4" t="s">
        <v>1446</v>
      </c>
      <c r="D200" s="4" t="s">
        <v>1337</v>
      </c>
      <c r="E200" s="4" t="s">
        <v>1338</v>
      </c>
      <c r="F200" s="4" t="s">
        <v>1339</v>
      </c>
      <c r="G200" s="4" t="s">
        <v>1340</v>
      </c>
      <c r="H200" s="4" t="s">
        <v>1341</v>
      </c>
      <c r="I200" s="4" t="s">
        <v>1447</v>
      </c>
      <c r="J200" s="4" t="s">
        <v>1448</v>
      </c>
      <c r="K200" s="4" t="s">
        <v>1449</v>
      </c>
      <c r="L200" s="4" t="s">
        <v>1450</v>
      </c>
      <c r="Z200" s="4" t="s">
        <v>1462</v>
      </c>
      <c r="AA200" s="2" t="s">
        <v>261</v>
      </c>
      <c r="AB200" s="4" t="s">
        <v>116</v>
      </c>
      <c r="AC200" s="4" t="s">
        <v>117</v>
      </c>
      <c r="AD200" s="4" t="s">
        <v>118</v>
      </c>
      <c r="AE200" s="2" t="s">
        <v>1452</v>
      </c>
      <c r="AF200" s="4" t="s">
        <v>1453</v>
      </c>
      <c r="AG200" s="4" t="s">
        <v>1454</v>
      </c>
      <c r="AH200" s="2" t="s">
        <v>1463</v>
      </c>
      <c r="AI200" s="2" t="s">
        <v>357</v>
      </c>
      <c r="AJ200" s="2" t="s">
        <v>981</v>
      </c>
      <c r="AK200" s="4" t="s">
        <v>1464</v>
      </c>
      <c r="AN200" s="4" t="s">
        <v>1455</v>
      </c>
      <c r="AO200" s="4" t="s">
        <v>1465</v>
      </c>
      <c r="AP200" s="4" t="str">
        <f t="array" ref="AP200">XLOOKUP(TRUE, CHOOSECOLS(A200:V200, 1, 4, 7, 10, 13, 16, 19, 22)&lt;&gt;"", CHOOSECOLS(A200:V200, 1, 4, 7, 10, 13, 16, 19, 22), "", 0, -1)</f>
        <v>Coordinate respiratory muscles</v>
      </c>
      <c r="AQ200" s="4" t="s">
        <v>269</v>
      </c>
      <c r="AR200" s="2" t="s">
        <v>270</v>
      </c>
      <c r="AS200" s="4" t="s">
        <v>227</v>
      </c>
      <c r="AT200" s="4" t="s">
        <v>1457</v>
      </c>
      <c r="AU200" s="4" t="s">
        <v>1458</v>
      </c>
      <c r="AV200" s="4" t="s">
        <v>1459</v>
      </c>
      <c r="BF200" s="4" t="s">
        <v>1460</v>
      </c>
      <c r="BR200" s="4" t="s">
        <v>136</v>
      </c>
      <c r="BS200" s="4" t="s">
        <v>1461</v>
      </c>
      <c r="BT200" s="4">
        <v>8.0</v>
      </c>
      <c r="BU200" s="2"/>
      <c r="BV200" s="2"/>
      <c r="BW200" s="2"/>
      <c r="BX200" s="2"/>
      <c r="BY200" s="2"/>
      <c r="BZ200" s="2"/>
      <c r="CA200" s="2"/>
      <c r="CB200" s="2"/>
      <c r="CC200" s="2"/>
    </row>
    <row r="201">
      <c r="A201" s="4" t="s">
        <v>105</v>
      </c>
      <c r="B201" s="4" t="s">
        <v>105</v>
      </c>
      <c r="C201" s="4" t="s">
        <v>1466</v>
      </c>
      <c r="D201" s="4" t="s">
        <v>1337</v>
      </c>
      <c r="E201" s="4" t="s">
        <v>1338</v>
      </c>
      <c r="F201" s="4" t="s">
        <v>1339</v>
      </c>
      <c r="G201" s="4" t="s">
        <v>1340</v>
      </c>
      <c r="H201" s="4" t="s">
        <v>1341</v>
      </c>
      <c r="I201" s="4" t="s">
        <v>1467</v>
      </c>
      <c r="J201" s="4" t="s">
        <v>1468</v>
      </c>
      <c r="K201" s="4" t="s">
        <v>916</v>
      </c>
      <c r="L201" s="4" t="s">
        <v>917</v>
      </c>
      <c r="Z201" s="4" t="s">
        <v>1469</v>
      </c>
      <c r="AA201" s="2" t="s">
        <v>261</v>
      </c>
      <c r="AB201" s="4" t="s">
        <v>116</v>
      </c>
      <c r="AC201" s="4" t="s">
        <v>117</v>
      </c>
      <c r="AD201" s="4" t="s">
        <v>118</v>
      </c>
      <c r="AE201" s="2" t="s">
        <v>1470</v>
      </c>
      <c r="AF201" s="4" t="s">
        <v>1471</v>
      </c>
      <c r="AG201" s="4" t="s">
        <v>1472</v>
      </c>
      <c r="AI201" s="4" t="s">
        <v>122</v>
      </c>
      <c r="AJ201" s="2" t="s">
        <v>1473</v>
      </c>
      <c r="AK201" s="2" t="s">
        <v>757</v>
      </c>
      <c r="AL201" s="4" t="s">
        <v>1474</v>
      </c>
      <c r="AM201" s="4" t="s">
        <v>1475</v>
      </c>
      <c r="AN201" s="4" t="s">
        <v>1476</v>
      </c>
      <c r="AO201" s="4" t="s">
        <v>1477</v>
      </c>
      <c r="AP201" s="4" t="str">
        <f t="array" ref="AP201">XLOOKUP(TRUE, CHOOSECOLS(A201:V201, 1, 4, 7, 10, 13, 16, 19, 22)&lt;&gt;"", CHOOSECOLS(A201:V201, 1, 4, 7, 10, 13, 16, 19, 22), "", 0, -1)</f>
        <v>CO₂ chemoreception</v>
      </c>
      <c r="AR201" s="2" t="s">
        <v>270</v>
      </c>
      <c r="AS201" s="4" t="s">
        <v>883</v>
      </c>
      <c r="AT201" s="4" t="s">
        <v>421</v>
      </c>
      <c r="AU201" s="4" t="s">
        <v>422</v>
      </c>
      <c r="AV201" s="4" t="s">
        <v>423</v>
      </c>
      <c r="BF201" s="4" t="s">
        <v>1478</v>
      </c>
      <c r="BR201" s="4" t="s">
        <v>136</v>
      </c>
      <c r="BS201" s="4" t="s">
        <v>1479</v>
      </c>
      <c r="BT201" s="4">
        <v>8.0</v>
      </c>
      <c r="BU201" s="2"/>
      <c r="BV201" s="2"/>
      <c r="BW201" s="2"/>
      <c r="BX201" s="2"/>
      <c r="BY201" s="2"/>
      <c r="BZ201" s="2"/>
      <c r="CA201" s="2"/>
      <c r="CB201" s="2"/>
      <c r="CC201" s="2"/>
    </row>
    <row r="202">
      <c r="A202" s="4" t="s">
        <v>105</v>
      </c>
      <c r="B202" s="4" t="s">
        <v>105</v>
      </c>
      <c r="C202" s="4" t="s">
        <v>1480</v>
      </c>
      <c r="D202" s="4" t="s">
        <v>1337</v>
      </c>
      <c r="E202" s="4" t="s">
        <v>1338</v>
      </c>
      <c r="F202" s="4" t="s">
        <v>1339</v>
      </c>
      <c r="G202" s="4" t="s">
        <v>1340</v>
      </c>
      <c r="H202" s="4" t="s">
        <v>1341</v>
      </c>
      <c r="I202" s="4" t="s">
        <v>1481</v>
      </c>
      <c r="J202" s="4" t="s">
        <v>1482</v>
      </c>
      <c r="K202" s="4" t="s">
        <v>1483</v>
      </c>
      <c r="L202" s="4" t="s">
        <v>1484</v>
      </c>
      <c r="Z202" s="4" t="s">
        <v>1485</v>
      </c>
      <c r="AA202" s="2" t="s">
        <v>509</v>
      </c>
      <c r="AB202" s="4" t="s">
        <v>116</v>
      </c>
      <c r="AC202" s="4" t="s">
        <v>117</v>
      </c>
      <c r="AD202" s="4" t="s">
        <v>118</v>
      </c>
      <c r="AE202" s="2" t="s">
        <v>1486</v>
      </c>
      <c r="AF202" s="2" t="s">
        <v>1487</v>
      </c>
      <c r="AG202" s="4" t="s">
        <v>1488</v>
      </c>
      <c r="AI202" s="4" t="s">
        <v>122</v>
      </c>
      <c r="AJ202" s="2" t="s">
        <v>1489</v>
      </c>
      <c r="AK202" s="2" t="s">
        <v>1490</v>
      </c>
      <c r="AM202" s="4" t="s">
        <v>1491</v>
      </c>
      <c r="AN202" s="4" t="s">
        <v>1492</v>
      </c>
      <c r="AO202" s="2" t="s">
        <v>1493</v>
      </c>
      <c r="AP202" s="4" t="str">
        <f t="array" ref="AP202">XLOOKUP(TRUE, CHOOSECOLS(A202:V202, 1, 4, 7, 10, 13, 16, 19, 22)&lt;&gt;"", CHOOSECOLS(A202:V202, 1, 4, 7, 10, 13, 16, 19, 22), "", 0, -1)</f>
        <v>O₂ and pH sensing</v>
      </c>
      <c r="AR202" s="2" t="s">
        <v>1494</v>
      </c>
      <c r="AS202" s="4" t="s">
        <v>227</v>
      </c>
      <c r="AT202" s="4" t="s">
        <v>1495</v>
      </c>
      <c r="BF202" s="4" t="s">
        <v>1496</v>
      </c>
      <c r="BI202" s="2" t="s">
        <v>1497</v>
      </c>
      <c r="BR202" s="4" t="s">
        <v>136</v>
      </c>
      <c r="BS202" s="4" t="s">
        <v>1498</v>
      </c>
      <c r="BT202" s="4">
        <v>8.0</v>
      </c>
      <c r="BU202" s="2"/>
      <c r="BV202" s="2"/>
      <c r="BW202" s="2"/>
      <c r="BX202" s="2"/>
      <c r="BY202" s="2"/>
      <c r="BZ202" s="2"/>
      <c r="CA202" s="2"/>
      <c r="CB202" s="2"/>
      <c r="CC202" s="2"/>
    </row>
    <row r="203">
      <c r="A203" s="4" t="s">
        <v>105</v>
      </c>
      <c r="B203" s="4" t="s">
        <v>105</v>
      </c>
      <c r="C203" s="4" t="s">
        <v>1480</v>
      </c>
      <c r="D203" s="4" t="s">
        <v>1337</v>
      </c>
      <c r="E203" s="4" t="s">
        <v>1338</v>
      </c>
      <c r="F203" s="4" t="s">
        <v>1339</v>
      </c>
      <c r="G203" s="4" t="s">
        <v>1340</v>
      </c>
      <c r="H203" s="4" t="s">
        <v>1341</v>
      </c>
      <c r="I203" s="4" t="s">
        <v>1481</v>
      </c>
      <c r="J203" s="4" t="s">
        <v>1482</v>
      </c>
      <c r="K203" s="4" t="s">
        <v>1483</v>
      </c>
      <c r="L203" s="4" t="s">
        <v>1484</v>
      </c>
      <c r="Z203" s="4" t="s">
        <v>1499</v>
      </c>
      <c r="AA203" s="2" t="s">
        <v>509</v>
      </c>
      <c r="AB203" s="4" t="s">
        <v>116</v>
      </c>
      <c r="AC203" s="4" t="s">
        <v>117</v>
      </c>
      <c r="AD203" s="4" t="s">
        <v>118</v>
      </c>
      <c r="AE203" s="4" t="s">
        <v>1486</v>
      </c>
      <c r="AF203" s="4" t="s">
        <v>1487</v>
      </c>
      <c r="AG203" s="4" t="s">
        <v>1488</v>
      </c>
      <c r="AH203" s="4" t="s">
        <v>1500</v>
      </c>
      <c r="AI203" s="4" t="s">
        <v>122</v>
      </c>
      <c r="AJ203" s="2" t="s">
        <v>1501</v>
      </c>
      <c r="AK203" s="4" t="s">
        <v>1502</v>
      </c>
      <c r="AL203" s="2" t="s">
        <v>1503</v>
      </c>
      <c r="AM203" s="4" t="s">
        <v>1019</v>
      </c>
      <c r="AN203" s="4" t="s">
        <v>1492</v>
      </c>
      <c r="AO203" s="4" t="s">
        <v>1504</v>
      </c>
      <c r="AP203" s="4" t="str">
        <f t="array" ref="AP203">XLOOKUP(TRUE, CHOOSECOLS(A203:V203, 1, 4, 7, 10, 13, 16, 19, 22)&lt;&gt;"", CHOOSECOLS(A203:V203, 1, 4, 7, 10, 13, 16, 19, 22), "", 0, -1)</f>
        <v>O₂ and pH sensing</v>
      </c>
      <c r="AQ203" s="4" t="s">
        <v>630</v>
      </c>
      <c r="AR203" s="2" t="s">
        <v>518</v>
      </c>
      <c r="AS203" s="4" t="s">
        <v>227</v>
      </c>
      <c r="AT203" s="4" t="s">
        <v>1495</v>
      </c>
      <c r="BF203" s="4" t="s">
        <v>1496</v>
      </c>
      <c r="BI203" s="2" t="s">
        <v>1497</v>
      </c>
      <c r="BR203" s="4" t="s">
        <v>136</v>
      </c>
      <c r="BS203" s="4" t="s">
        <v>1498</v>
      </c>
      <c r="BT203" s="4">
        <v>8.0</v>
      </c>
      <c r="BU203" s="2"/>
      <c r="BV203" s="2"/>
      <c r="BW203" s="2"/>
      <c r="BX203" s="2"/>
      <c r="BY203" s="2"/>
      <c r="BZ203" s="2"/>
      <c r="CA203" s="2"/>
      <c r="CB203" s="2"/>
      <c r="CC203" s="2"/>
    </row>
    <row r="204">
      <c r="A204" s="4" t="s">
        <v>105</v>
      </c>
      <c r="B204" s="4" t="s">
        <v>105</v>
      </c>
      <c r="C204" s="4" t="s">
        <v>1505</v>
      </c>
      <c r="D204" s="4" t="s">
        <v>1337</v>
      </c>
      <c r="E204" s="4" t="s">
        <v>1338</v>
      </c>
      <c r="F204" s="4" t="s">
        <v>1339</v>
      </c>
      <c r="G204" s="4" t="s">
        <v>1340</v>
      </c>
      <c r="H204" s="4" t="s">
        <v>1341</v>
      </c>
      <c r="I204" s="4" t="s">
        <v>1506</v>
      </c>
      <c r="J204" s="4" t="s">
        <v>1507</v>
      </c>
      <c r="Z204" s="4" t="s">
        <v>1508</v>
      </c>
      <c r="AA204" s="2" t="s">
        <v>638</v>
      </c>
      <c r="AB204" s="4" t="s">
        <v>1214</v>
      </c>
      <c r="AC204" s="4" t="s">
        <v>1215</v>
      </c>
      <c r="AD204" s="4" t="s">
        <v>1216</v>
      </c>
      <c r="AE204" s="2" t="s">
        <v>1509</v>
      </c>
      <c r="AF204" s="4" t="s">
        <v>1510</v>
      </c>
      <c r="AG204" s="4" t="s">
        <v>1511</v>
      </c>
      <c r="AH204" s="2" t="s">
        <v>1512</v>
      </c>
      <c r="AI204" s="2" t="s">
        <v>357</v>
      </c>
      <c r="AJ204" s="2" t="s">
        <v>351</v>
      </c>
      <c r="AK204" s="2" t="s">
        <v>1323</v>
      </c>
      <c r="AL204" s="2" t="s">
        <v>117</v>
      </c>
      <c r="AM204" s="4" t="s">
        <v>1079</v>
      </c>
      <c r="AN204" s="4" t="s">
        <v>1513</v>
      </c>
      <c r="AO204" s="4" t="s">
        <v>1514</v>
      </c>
      <c r="AP204" s="4" t="str">
        <f t="array" ref="AP204">XLOOKUP(TRUE, CHOOSECOLS(A204:V204, 1, 4, 7, 10, 13, 16, 19, 22)&lt;&gt;"", CHOOSECOLS(A204:V204, 1, 4, 7, 10, 13, 16, 19, 22), "", 0, -1)</f>
        <v>Airway feedback</v>
      </c>
      <c r="AQ204" s="4" t="s">
        <v>317</v>
      </c>
      <c r="AR204" s="2" t="s">
        <v>129</v>
      </c>
      <c r="AS204" s="4" t="s">
        <v>227</v>
      </c>
      <c r="AT204" s="4" t="s">
        <v>1515</v>
      </c>
      <c r="AU204" s="4" t="s">
        <v>1516</v>
      </c>
      <c r="AV204" s="4" t="s">
        <v>1517</v>
      </c>
      <c r="BF204" s="4" t="s">
        <v>1518</v>
      </c>
      <c r="BR204" s="4" t="s">
        <v>136</v>
      </c>
      <c r="BS204" s="4" t="s">
        <v>1519</v>
      </c>
      <c r="BT204" s="4">
        <v>8.0</v>
      </c>
      <c r="BU204" s="2"/>
      <c r="BV204" s="2"/>
      <c r="BW204" s="2"/>
      <c r="BX204" s="2"/>
      <c r="BY204" s="2"/>
      <c r="BZ204" s="2"/>
      <c r="CA204" s="2"/>
      <c r="CB204" s="2"/>
      <c r="CC204" s="2"/>
    </row>
    <row r="205">
      <c r="A205" s="4" t="s">
        <v>105</v>
      </c>
      <c r="B205" s="4" t="s">
        <v>105</v>
      </c>
      <c r="C205" s="4" t="s">
        <v>1505</v>
      </c>
      <c r="D205" s="4" t="s">
        <v>1337</v>
      </c>
      <c r="E205" s="4" t="s">
        <v>1338</v>
      </c>
      <c r="F205" s="4" t="s">
        <v>1339</v>
      </c>
      <c r="G205" s="4" t="s">
        <v>1340</v>
      </c>
      <c r="H205" s="4" t="s">
        <v>1341</v>
      </c>
      <c r="I205" s="4" t="s">
        <v>1506</v>
      </c>
      <c r="J205" s="4" t="s">
        <v>1507</v>
      </c>
      <c r="Z205" s="4" t="s">
        <v>1520</v>
      </c>
      <c r="AA205" s="2" t="s">
        <v>638</v>
      </c>
      <c r="AB205" s="4" t="s">
        <v>1214</v>
      </c>
      <c r="AC205" s="4" t="s">
        <v>1215</v>
      </c>
      <c r="AD205" s="4" t="s">
        <v>1216</v>
      </c>
      <c r="AE205" s="2" t="s">
        <v>1509</v>
      </c>
      <c r="AF205" s="4" t="s">
        <v>1510</v>
      </c>
      <c r="AG205" s="4" t="s">
        <v>1511</v>
      </c>
      <c r="AH205" s="2" t="s">
        <v>1521</v>
      </c>
      <c r="AI205" s="2" t="s">
        <v>312</v>
      </c>
      <c r="AJ205" s="2" t="s">
        <v>351</v>
      </c>
      <c r="AK205" s="2" t="s">
        <v>1323</v>
      </c>
      <c r="AL205" s="2" t="s">
        <v>117</v>
      </c>
      <c r="AM205" s="4" t="s">
        <v>1079</v>
      </c>
      <c r="AN205" s="4" t="s">
        <v>1513</v>
      </c>
      <c r="AO205" s="4" t="s">
        <v>1522</v>
      </c>
      <c r="AP205" s="4" t="str">
        <f t="array" ref="AP205">XLOOKUP(TRUE, CHOOSECOLS(A205:V205, 1, 4, 7, 10, 13, 16, 19, 22)&lt;&gt;"", CHOOSECOLS(A205:V205, 1, 4, 7, 10, 13, 16, 19, 22), "", 0, -1)</f>
        <v>Airway feedback</v>
      </c>
      <c r="AQ205" s="4" t="s">
        <v>317</v>
      </c>
      <c r="AR205" s="2" t="s">
        <v>129</v>
      </c>
      <c r="AS205" s="4" t="s">
        <v>227</v>
      </c>
      <c r="AT205" s="4" t="s">
        <v>1515</v>
      </c>
      <c r="AU205" s="4" t="s">
        <v>1516</v>
      </c>
      <c r="AV205" s="4" t="s">
        <v>1517</v>
      </c>
      <c r="BF205" s="4" t="s">
        <v>1518</v>
      </c>
      <c r="BR205" s="4" t="s">
        <v>136</v>
      </c>
      <c r="BS205" s="4" t="s">
        <v>1519</v>
      </c>
      <c r="BT205" s="4">
        <v>8.0</v>
      </c>
      <c r="BU205" s="2"/>
      <c r="BV205" s="2"/>
      <c r="BW205" s="2"/>
      <c r="BX205" s="2"/>
      <c r="BY205" s="2"/>
      <c r="BZ205" s="2"/>
      <c r="CA205" s="2"/>
      <c r="CB205" s="2"/>
      <c r="CC205" s="2"/>
    </row>
    <row r="206">
      <c r="A206" s="4" t="s">
        <v>105</v>
      </c>
      <c r="B206" s="4" t="s">
        <v>105</v>
      </c>
      <c r="C206" s="4" t="s">
        <v>1523</v>
      </c>
      <c r="D206" s="4" t="s">
        <v>1337</v>
      </c>
      <c r="E206" s="4" t="s">
        <v>1338</v>
      </c>
      <c r="F206" s="4" t="s">
        <v>1339</v>
      </c>
      <c r="G206" s="4" t="s">
        <v>1340</v>
      </c>
      <c r="H206" s="4" t="s">
        <v>1341</v>
      </c>
      <c r="I206" s="4" t="s">
        <v>1524</v>
      </c>
      <c r="J206" s="4" t="s">
        <v>1525</v>
      </c>
      <c r="K206" s="4" t="s">
        <v>1483</v>
      </c>
      <c r="L206" s="4" t="s">
        <v>1484</v>
      </c>
      <c r="Z206" s="4" t="s">
        <v>1526</v>
      </c>
      <c r="AA206" s="2" t="s">
        <v>638</v>
      </c>
      <c r="AB206" s="4" t="s">
        <v>1214</v>
      </c>
      <c r="AC206" s="4" t="s">
        <v>1215</v>
      </c>
      <c r="AD206" s="4" t="s">
        <v>1216</v>
      </c>
      <c r="AE206" s="2" t="s">
        <v>1509</v>
      </c>
      <c r="AF206" s="4" t="s">
        <v>1510</v>
      </c>
      <c r="AG206" s="4" t="s">
        <v>1511</v>
      </c>
      <c r="AH206" s="4" t="s">
        <v>1527</v>
      </c>
      <c r="AI206" s="2" t="s">
        <v>312</v>
      </c>
      <c r="AJ206" s="2" t="s">
        <v>1501</v>
      </c>
      <c r="AK206" s="2" t="s">
        <v>1528</v>
      </c>
      <c r="AL206" s="2" t="s">
        <v>1529</v>
      </c>
      <c r="AN206" s="4" t="s">
        <v>1530</v>
      </c>
      <c r="AO206" s="4" t="s">
        <v>1531</v>
      </c>
      <c r="AP206" s="4" t="str">
        <f t="array" ref="AP206">XLOOKUP(TRUE, CHOOSECOLS(A206:V206, 1, 4, 7, 10, 13, 16, 19, 22)&lt;&gt;"", CHOOSECOLS(A206:V206, 1, 4, 7, 10, 13, 16, 19, 22), "", 0, -1)</f>
        <v>Irritant sensing</v>
      </c>
      <c r="AQ206" s="4" t="s">
        <v>269</v>
      </c>
      <c r="AR206" s="2" t="s">
        <v>270</v>
      </c>
      <c r="AS206" s="4" t="s">
        <v>227</v>
      </c>
      <c r="AT206" s="4" t="s">
        <v>1532</v>
      </c>
      <c r="AW206" s="4" t="s">
        <v>1218</v>
      </c>
      <c r="AX206" s="4" t="s">
        <v>1210</v>
      </c>
      <c r="AY206" s="4" t="s">
        <v>1224</v>
      </c>
      <c r="BF206" s="4" t="s">
        <v>1533</v>
      </c>
      <c r="BR206" s="4" t="s">
        <v>136</v>
      </c>
      <c r="BS206" s="4" t="s">
        <v>1534</v>
      </c>
      <c r="BT206" s="4">
        <v>8.0</v>
      </c>
      <c r="BU206" s="2"/>
      <c r="BV206" s="2"/>
      <c r="BW206" s="2"/>
      <c r="BX206" s="2"/>
      <c r="BY206" s="2"/>
      <c r="BZ206" s="2"/>
      <c r="CA206" s="2"/>
      <c r="CB206" s="2"/>
      <c r="CC206" s="2"/>
    </row>
    <row r="207" ht="13.5" customHeight="1">
      <c r="A207" s="4" t="s">
        <v>105</v>
      </c>
      <c r="B207" s="4" t="s">
        <v>105</v>
      </c>
      <c r="C207" s="4" t="s">
        <v>1535</v>
      </c>
      <c r="D207" s="4" t="s">
        <v>1337</v>
      </c>
      <c r="E207" s="4" t="s">
        <v>1338</v>
      </c>
      <c r="F207" s="4" t="s">
        <v>1339</v>
      </c>
      <c r="G207" s="4" t="s">
        <v>1340</v>
      </c>
      <c r="H207" s="4" t="s">
        <v>1341</v>
      </c>
      <c r="I207" s="4" t="s">
        <v>1536</v>
      </c>
      <c r="J207" s="4" t="s">
        <v>1537</v>
      </c>
      <c r="K207" s="4" t="s">
        <v>1538</v>
      </c>
      <c r="L207" s="4" t="s">
        <v>1539</v>
      </c>
      <c r="Z207" s="2" t="s">
        <v>1540</v>
      </c>
      <c r="AA207" s="2" t="s">
        <v>195</v>
      </c>
      <c r="AB207" s="4" t="s">
        <v>116</v>
      </c>
      <c r="AC207" s="4" t="s">
        <v>117</v>
      </c>
      <c r="AD207" s="4" t="s">
        <v>118</v>
      </c>
      <c r="AE207" s="4" t="s">
        <v>1541</v>
      </c>
      <c r="AF207" s="2" t="s">
        <v>569</v>
      </c>
      <c r="AG207" s="42" t="s">
        <v>1542</v>
      </c>
      <c r="AH207" s="4" t="s">
        <v>1543</v>
      </c>
      <c r="AI207" s="2" t="s">
        <v>312</v>
      </c>
      <c r="AJ207" s="2" t="s">
        <v>1501</v>
      </c>
      <c r="AK207" s="4" t="s">
        <v>1544</v>
      </c>
      <c r="AL207" s="2" t="s">
        <v>1545</v>
      </c>
      <c r="AM207" s="4" t="s">
        <v>1546</v>
      </c>
      <c r="AN207" s="4" t="s">
        <v>1547</v>
      </c>
      <c r="AO207" s="4" t="s">
        <v>1548</v>
      </c>
      <c r="AP207" s="4" t="str">
        <f t="array" ref="AP207">XLOOKUP(TRUE, CHOOSECOLS(A207:V207, 1, 4, 7, 10, 13, 16, 19, 22)&lt;&gt;"", CHOOSECOLS(A207:V207, 1, 4, 7, 10, 13, 16, 19, 22), "", 0, -1)</f>
        <v>Interstitial monitoring</v>
      </c>
      <c r="AQ207" s="4" t="s">
        <v>317</v>
      </c>
      <c r="AR207" s="2" t="s">
        <v>201</v>
      </c>
      <c r="AS207" s="4" t="s">
        <v>227</v>
      </c>
      <c r="AT207" s="4" t="s">
        <v>1549</v>
      </c>
      <c r="AU207" s="4" t="s">
        <v>1550</v>
      </c>
      <c r="AV207" s="4" t="s">
        <v>1551</v>
      </c>
      <c r="BF207" s="4" t="s">
        <v>1552</v>
      </c>
      <c r="BR207" s="4" t="s">
        <v>136</v>
      </c>
      <c r="BS207" s="4" t="s">
        <v>1553</v>
      </c>
      <c r="BT207" s="4">
        <v>8.0</v>
      </c>
      <c r="BU207" s="2"/>
      <c r="BV207" s="2"/>
      <c r="BW207" s="2"/>
      <c r="BX207" s="2"/>
      <c r="BY207" s="2"/>
      <c r="BZ207" s="2"/>
      <c r="CA207" s="2"/>
      <c r="CB207" s="2"/>
      <c r="CC207" s="2"/>
    </row>
    <row r="208" ht="15.0" customHeight="1">
      <c r="A208" s="4" t="s">
        <v>105</v>
      </c>
      <c r="B208" s="4" t="s">
        <v>105</v>
      </c>
      <c r="C208" s="4" t="s">
        <v>1554</v>
      </c>
      <c r="D208" s="4" t="s">
        <v>1337</v>
      </c>
      <c r="E208" s="4" t="s">
        <v>1338</v>
      </c>
      <c r="F208" s="4" t="s">
        <v>1339</v>
      </c>
      <c r="G208" s="4" t="s">
        <v>1340</v>
      </c>
      <c r="H208" s="4" t="s">
        <v>1341</v>
      </c>
      <c r="I208" s="4" t="s">
        <v>1555</v>
      </c>
      <c r="J208" s="4" t="s">
        <v>1556</v>
      </c>
      <c r="Z208" s="4" t="s">
        <v>1557</v>
      </c>
      <c r="AA208" s="2" t="s">
        <v>195</v>
      </c>
      <c r="AB208" s="4" t="s">
        <v>116</v>
      </c>
      <c r="AC208" s="4" t="s">
        <v>117</v>
      </c>
      <c r="AD208" s="4" t="s">
        <v>118</v>
      </c>
      <c r="AE208" s="4" t="s">
        <v>1558</v>
      </c>
      <c r="AF208" s="4" t="s">
        <v>1559</v>
      </c>
      <c r="AG208" s="4" t="s">
        <v>1560</v>
      </c>
      <c r="AH208" s="2" t="s">
        <v>1561</v>
      </c>
      <c r="AI208" s="4" t="s">
        <v>312</v>
      </c>
      <c r="AJ208" s="2" t="s">
        <v>351</v>
      </c>
      <c r="AK208" s="2" t="s">
        <v>1323</v>
      </c>
      <c r="AL208" s="2" t="s">
        <v>117</v>
      </c>
      <c r="AM208" s="4" t="s">
        <v>182</v>
      </c>
      <c r="AN208" s="4" t="s">
        <v>1562</v>
      </c>
      <c r="AO208" s="4" t="s">
        <v>1563</v>
      </c>
      <c r="AP208" s="4" t="str">
        <f t="array" ref="AP208">XLOOKUP(TRUE, CHOOSECOLS(A208:V208, 1, 4, 7, 10, 13, 16, 19, 22)&lt;&gt;"", CHOOSECOLS(A208:V208, 1, 4, 7, 10, 13, 16, 19, 22), "", 0, -1)</f>
        <v>Somatic feedback</v>
      </c>
      <c r="AQ208" s="4" t="s">
        <v>269</v>
      </c>
      <c r="AR208" s="4" t="s">
        <v>269</v>
      </c>
      <c r="AS208" s="4" t="s">
        <v>227</v>
      </c>
      <c r="AT208" s="4" t="s">
        <v>1564</v>
      </c>
      <c r="BF208" s="4" t="s">
        <v>1565</v>
      </c>
      <c r="BR208" s="4" t="s">
        <v>136</v>
      </c>
      <c r="BS208" s="4" t="s">
        <v>1566</v>
      </c>
      <c r="BT208" s="4">
        <v>8.0</v>
      </c>
      <c r="BU208" s="2"/>
      <c r="BV208" s="2"/>
      <c r="BW208" s="2"/>
      <c r="BX208" s="2"/>
      <c r="BY208" s="2"/>
      <c r="BZ208" s="2"/>
      <c r="CA208" s="2"/>
      <c r="CB208" s="2"/>
      <c r="CC208" s="2"/>
    </row>
    <row r="209">
      <c r="A209" s="4" t="s">
        <v>105</v>
      </c>
      <c r="B209" s="4" t="s">
        <v>105</v>
      </c>
      <c r="C209" s="4" t="s">
        <v>1554</v>
      </c>
      <c r="D209" s="4" t="s">
        <v>1337</v>
      </c>
      <c r="E209" s="4" t="s">
        <v>1338</v>
      </c>
      <c r="F209" s="4" t="s">
        <v>1339</v>
      </c>
      <c r="G209" s="4" t="s">
        <v>1340</v>
      </c>
      <c r="H209" s="4" t="s">
        <v>1341</v>
      </c>
      <c r="I209" s="4" t="s">
        <v>1555</v>
      </c>
      <c r="J209" s="4" t="s">
        <v>1556</v>
      </c>
      <c r="Z209" s="4" t="s">
        <v>1567</v>
      </c>
      <c r="AA209" s="2" t="s">
        <v>195</v>
      </c>
      <c r="AB209" s="4" t="s">
        <v>116</v>
      </c>
      <c r="AC209" s="4" t="s">
        <v>117</v>
      </c>
      <c r="AD209" s="4" t="s">
        <v>118</v>
      </c>
      <c r="AE209" s="4" t="s">
        <v>1558</v>
      </c>
      <c r="AF209" s="4" t="s">
        <v>1559</v>
      </c>
      <c r="AG209" s="4" t="s">
        <v>1560</v>
      </c>
      <c r="AI209" s="4" t="s">
        <v>122</v>
      </c>
      <c r="AJ209" s="2" t="s">
        <v>1501</v>
      </c>
      <c r="AK209" s="2" t="s">
        <v>1568</v>
      </c>
      <c r="AL209" s="4" t="s">
        <v>1569</v>
      </c>
      <c r="AN209" s="4" t="s">
        <v>1562</v>
      </c>
      <c r="AO209" s="2" t="s">
        <v>1570</v>
      </c>
      <c r="AP209" s="4" t="str">
        <f t="array" ref="AP209">XLOOKUP(TRUE, CHOOSECOLS(A209:V209, 1, 4, 7, 10, 13, 16, 19, 22)&lt;&gt;"", CHOOSECOLS(A209:V209, 1, 4, 7, 10, 13, 16, 19, 22), "", 0, -1)</f>
        <v>Somatic feedback</v>
      </c>
      <c r="AR209" s="2" t="s">
        <v>201</v>
      </c>
      <c r="AS209" s="4" t="s">
        <v>227</v>
      </c>
      <c r="AT209" s="4" t="s">
        <v>1564</v>
      </c>
      <c r="BF209" s="4" t="s">
        <v>1565</v>
      </c>
      <c r="BR209" s="4" t="s">
        <v>136</v>
      </c>
      <c r="BS209" s="4" t="s">
        <v>1566</v>
      </c>
      <c r="BT209" s="4">
        <v>8.0</v>
      </c>
      <c r="BU209" s="2"/>
      <c r="BV209" s="2"/>
      <c r="BW209" s="2"/>
      <c r="BX209" s="2"/>
      <c r="BY209" s="2"/>
      <c r="BZ209" s="2"/>
      <c r="CA209" s="2"/>
      <c r="CB209" s="2"/>
      <c r="CC209" s="2"/>
    </row>
    <row r="210">
      <c r="A210" s="4" t="s">
        <v>105</v>
      </c>
      <c r="B210" s="4" t="s">
        <v>105</v>
      </c>
      <c r="C210" s="4" t="s">
        <v>1571</v>
      </c>
      <c r="D210" s="4" t="s">
        <v>1337</v>
      </c>
      <c r="E210" s="4" t="s">
        <v>1338</v>
      </c>
      <c r="F210" s="4" t="s">
        <v>1339</v>
      </c>
      <c r="G210" s="4" t="s">
        <v>1340</v>
      </c>
      <c r="H210" s="4" t="s">
        <v>1341</v>
      </c>
      <c r="I210" s="4" t="s">
        <v>1555</v>
      </c>
      <c r="J210" s="4" t="s">
        <v>1572</v>
      </c>
      <c r="K210" s="4" t="s">
        <v>1463</v>
      </c>
      <c r="L210" s="4" t="s">
        <v>1573</v>
      </c>
      <c r="Z210" s="4" t="s">
        <v>1574</v>
      </c>
      <c r="AA210" s="2" t="s">
        <v>261</v>
      </c>
      <c r="AB210" s="2" t="s">
        <v>1347</v>
      </c>
      <c r="AC210" s="4" t="s">
        <v>117</v>
      </c>
      <c r="AD210" s="4" t="s">
        <v>118</v>
      </c>
      <c r="AE210" s="2" t="s">
        <v>1575</v>
      </c>
      <c r="AF210" s="4" t="s">
        <v>1576</v>
      </c>
      <c r="AG210" s="4" t="s">
        <v>1577</v>
      </c>
      <c r="AH210" s="2" t="s">
        <v>1463</v>
      </c>
      <c r="AI210" s="2" t="s">
        <v>357</v>
      </c>
      <c r="AJ210" s="2" t="s">
        <v>394</v>
      </c>
      <c r="AK210" s="4" t="s">
        <v>1578</v>
      </c>
      <c r="AN210" s="4" t="s">
        <v>1579</v>
      </c>
      <c r="AO210" s="2" t="s">
        <v>1580</v>
      </c>
      <c r="AP210" s="4" t="str">
        <f t="array" ref="AP210">XLOOKUP(TRUE, CHOOSECOLS(A210:V210, 1, 4, 7, 10, 13, 16, 19, 22)&lt;&gt;"", CHOOSECOLS(A210:V210, 1, 4, 7, 10, 13, 16, 19, 22), "", 0, -1)</f>
        <v>Sleep modulation</v>
      </c>
      <c r="AQ210" s="2" t="s">
        <v>270</v>
      </c>
      <c r="AR210" s="2" t="s">
        <v>270</v>
      </c>
      <c r="AS210" s="4" t="s">
        <v>543</v>
      </c>
      <c r="AT210" s="4" t="s">
        <v>1581</v>
      </c>
      <c r="AW210" s="2" t="s">
        <v>1582</v>
      </c>
      <c r="BF210" s="4" t="s">
        <v>1583</v>
      </c>
      <c r="BR210" s="4" t="s">
        <v>136</v>
      </c>
      <c r="BS210" s="4" t="s">
        <v>1584</v>
      </c>
      <c r="BT210" s="4">
        <v>8.0</v>
      </c>
      <c r="BU210" s="2"/>
      <c r="BV210" s="2"/>
      <c r="BW210" s="2"/>
      <c r="BX210" s="2"/>
      <c r="BY210" s="2"/>
      <c r="BZ210" s="2"/>
      <c r="CA210" s="2"/>
      <c r="CB210" s="2"/>
      <c r="CC210" s="2"/>
    </row>
    <row r="211">
      <c r="A211" s="4" t="s">
        <v>105</v>
      </c>
      <c r="B211" s="4" t="s">
        <v>105</v>
      </c>
      <c r="C211" s="4" t="s">
        <v>1571</v>
      </c>
      <c r="D211" s="4" t="s">
        <v>1337</v>
      </c>
      <c r="E211" s="4" t="s">
        <v>1338</v>
      </c>
      <c r="F211" s="4" t="s">
        <v>1339</v>
      </c>
      <c r="G211" s="4" t="s">
        <v>1340</v>
      </c>
      <c r="H211" s="4" t="s">
        <v>1341</v>
      </c>
      <c r="I211" s="4" t="s">
        <v>1555</v>
      </c>
      <c r="J211" s="4" t="s">
        <v>1572</v>
      </c>
      <c r="K211" s="4" t="s">
        <v>1463</v>
      </c>
      <c r="L211" s="4" t="s">
        <v>1573</v>
      </c>
      <c r="Z211" s="4" t="s">
        <v>1585</v>
      </c>
      <c r="AA211" s="2" t="s">
        <v>261</v>
      </c>
      <c r="AB211" s="2" t="s">
        <v>1347</v>
      </c>
      <c r="AC211" s="4" t="s">
        <v>117</v>
      </c>
      <c r="AD211" s="4" t="s">
        <v>118</v>
      </c>
      <c r="AE211" s="2" t="s">
        <v>1586</v>
      </c>
      <c r="AF211" s="2" t="s">
        <v>1587</v>
      </c>
      <c r="AG211" s="2" t="s">
        <v>1588</v>
      </c>
      <c r="AH211" s="2" t="s">
        <v>1463</v>
      </c>
      <c r="AI211" s="4" t="s">
        <v>357</v>
      </c>
      <c r="AJ211" s="2" t="s">
        <v>1501</v>
      </c>
      <c r="AK211" s="4" t="s">
        <v>1589</v>
      </c>
      <c r="AL211" s="2" t="s">
        <v>1590</v>
      </c>
      <c r="AM211" s="4" t="s">
        <v>1591</v>
      </c>
      <c r="AN211" s="4" t="s">
        <v>1579</v>
      </c>
      <c r="AO211" s="4" t="s">
        <v>1592</v>
      </c>
      <c r="AP211" s="4" t="str">
        <f t="array" ref="AP211">XLOOKUP(TRUE, CHOOSECOLS(A211:V211, 1, 4, 7, 10, 13, 16, 19, 22)&lt;&gt;"", CHOOSECOLS(A211:V211, 1, 4, 7, 10, 13, 16, 19, 22), "", 0, -1)</f>
        <v>Sleep modulation</v>
      </c>
      <c r="AQ211" s="4" t="s">
        <v>269</v>
      </c>
      <c r="AR211" s="2" t="s">
        <v>270</v>
      </c>
      <c r="AS211" s="4" t="s">
        <v>543</v>
      </c>
      <c r="AT211" s="4" t="s">
        <v>1581</v>
      </c>
      <c r="AW211" s="4" t="s">
        <v>1582</v>
      </c>
      <c r="BF211" s="4" t="s">
        <v>1583</v>
      </c>
      <c r="BR211" s="4" t="s">
        <v>136</v>
      </c>
      <c r="BS211" s="4" t="s">
        <v>1584</v>
      </c>
      <c r="BT211" s="4">
        <v>8.0</v>
      </c>
      <c r="BU211" s="2"/>
      <c r="BV211" s="2"/>
      <c r="BW211" s="2"/>
      <c r="BX211" s="2"/>
      <c r="BY211" s="2"/>
      <c r="BZ211" s="2"/>
      <c r="CA211" s="2"/>
      <c r="CB211" s="2"/>
      <c r="CC211" s="2"/>
    </row>
    <row r="212">
      <c r="A212" s="4" t="s">
        <v>105</v>
      </c>
      <c r="B212" s="4" t="s">
        <v>105</v>
      </c>
      <c r="C212" s="4" t="s">
        <v>1571</v>
      </c>
      <c r="D212" s="4" t="s">
        <v>1337</v>
      </c>
      <c r="E212" s="4" t="s">
        <v>1338</v>
      </c>
      <c r="F212" s="4" t="s">
        <v>1339</v>
      </c>
      <c r="G212" s="4" t="s">
        <v>1340</v>
      </c>
      <c r="H212" s="4" t="s">
        <v>1341</v>
      </c>
      <c r="I212" s="4" t="s">
        <v>1555</v>
      </c>
      <c r="J212" s="4" t="s">
        <v>1572</v>
      </c>
      <c r="K212" s="4" t="s">
        <v>1463</v>
      </c>
      <c r="L212" s="4" t="s">
        <v>1573</v>
      </c>
      <c r="Z212" s="4" t="s">
        <v>1593</v>
      </c>
      <c r="AA212" s="2" t="s">
        <v>261</v>
      </c>
      <c r="AB212" s="2" t="s">
        <v>1347</v>
      </c>
      <c r="AC212" s="4" t="s">
        <v>117</v>
      </c>
      <c r="AD212" s="4" t="s">
        <v>118</v>
      </c>
      <c r="AE212" s="2" t="s">
        <v>1594</v>
      </c>
      <c r="AF212" s="4" t="s">
        <v>1595</v>
      </c>
      <c r="AG212" s="4" t="s">
        <v>1596</v>
      </c>
      <c r="AH212" s="2" t="s">
        <v>1463</v>
      </c>
      <c r="AI212" s="4" t="s">
        <v>357</v>
      </c>
      <c r="AJ212" s="2" t="s">
        <v>1501</v>
      </c>
      <c r="AK212" s="4" t="s">
        <v>1597</v>
      </c>
      <c r="AL212" s="2" t="s">
        <v>1590</v>
      </c>
      <c r="AM212" s="4" t="s">
        <v>1054</v>
      </c>
      <c r="AN212" s="4" t="s">
        <v>1579</v>
      </c>
      <c r="AO212" s="4" t="s">
        <v>1598</v>
      </c>
      <c r="AP212" s="4" t="str">
        <f t="array" ref="AP212">XLOOKUP(TRUE, CHOOSECOLS(A212:V212, 1, 4, 7, 10, 13, 16, 19, 22)&lt;&gt;"", CHOOSECOLS(A212:V212, 1, 4, 7, 10, 13, 16, 19, 22), "", 0, -1)</f>
        <v>Sleep modulation</v>
      </c>
      <c r="AQ212" s="4" t="s">
        <v>269</v>
      </c>
      <c r="AR212" s="2" t="s">
        <v>270</v>
      </c>
      <c r="AS212" s="4" t="s">
        <v>543</v>
      </c>
      <c r="AT212" s="4" t="s">
        <v>1581</v>
      </c>
      <c r="AW212" s="4" t="s">
        <v>1582</v>
      </c>
      <c r="BF212" s="4" t="s">
        <v>1583</v>
      </c>
      <c r="BR212" s="4" t="s">
        <v>136</v>
      </c>
      <c r="BS212" s="4" t="s">
        <v>1584</v>
      </c>
      <c r="BT212" s="4">
        <v>8.0</v>
      </c>
      <c r="BU212" s="2"/>
      <c r="BV212" s="2"/>
      <c r="BW212" s="2"/>
      <c r="BX212" s="2"/>
      <c r="BY212" s="2"/>
      <c r="BZ212" s="2"/>
      <c r="CA212" s="2"/>
      <c r="CB212" s="2"/>
      <c r="CC212" s="2"/>
    </row>
    <row r="213">
      <c r="A213" s="4" t="s">
        <v>105</v>
      </c>
      <c r="B213" s="4" t="s">
        <v>105</v>
      </c>
      <c r="C213" s="4" t="s">
        <v>1599</v>
      </c>
      <c r="D213" s="4" t="s">
        <v>1337</v>
      </c>
      <c r="E213" s="4" t="s">
        <v>1338</v>
      </c>
      <c r="F213" s="4" t="s">
        <v>1339</v>
      </c>
      <c r="G213" s="4" t="s">
        <v>1340</v>
      </c>
      <c r="H213" s="4" t="s">
        <v>1341</v>
      </c>
      <c r="I213" s="4" t="s">
        <v>1555</v>
      </c>
      <c r="J213" s="4" t="s">
        <v>1600</v>
      </c>
      <c r="Z213" s="4" t="s">
        <v>1601</v>
      </c>
      <c r="AA213" s="2" t="s">
        <v>261</v>
      </c>
      <c r="AB213" s="2" t="s">
        <v>1347</v>
      </c>
      <c r="AC213" s="4" t="s">
        <v>117</v>
      </c>
      <c r="AD213" s="4" t="s">
        <v>118</v>
      </c>
      <c r="AE213" s="2" t="s">
        <v>1602</v>
      </c>
      <c r="AF213" s="2" t="s">
        <v>1603</v>
      </c>
      <c r="AG213" s="2" t="s">
        <v>1604</v>
      </c>
      <c r="AH213" s="2" t="s">
        <v>1463</v>
      </c>
      <c r="AI213" s="2" t="s">
        <v>312</v>
      </c>
      <c r="AJ213" s="2" t="s">
        <v>1501</v>
      </c>
      <c r="AK213" s="4" t="s">
        <v>1605</v>
      </c>
      <c r="AL213" s="4" t="s">
        <v>1606</v>
      </c>
      <c r="AM213" s="4" t="s">
        <v>266</v>
      </c>
      <c r="AN213" s="4" t="s">
        <v>1607</v>
      </c>
      <c r="AO213" s="4" t="s">
        <v>1608</v>
      </c>
      <c r="AP213" s="4" t="str">
        <f t="array" ref="AP213">XLOOKUP(TRUE, CHOOSECOLS(A213:V213, 1, 4, 7, 10, 13, 16, 19, 22)&lt;&gt;"", CHOOSECOLS(A213:V213, 1, 4, 7, 10, 13, 16, 19, 22), "", 0, -1)</f>
        <v>Abnormal rhythmicity</v>
      </c>
      <c r="AQ213" s="4" t="s">
        <v>269</v>
      </c>
      <c r="AR213" s="2" t="s">
        <v>270</v>
      </c>
      <c r="AS213" s="4" t="s">
        <v>331</v>
      </c>
      <c r="AT213" s="4" t="s">
        <v>1609</v>
      </c>
      <c r="BF213" s="4" t="s">
        <v>1610</v>
      </c>
      <c r="BR213" s="4" t="s">
        <v>136</v>
      </c>
      <c r="BS213" s="4" t="s">
        <v>1611</v>
      </c>
      <c r="BT213" s="4">
        <v>8.0</v>
      </c>
      <c r="BU213" s="2"/>
      <c r="BV213" s="2"/>
      <c r="BW213" s="2"/>
      <c r="BX213" s="2"/>
      <c r="BY213" s="2"/>
      <c r="BZ213" s="2"/>
      <c r="CA213" s="2"/>
      <c r="CB213" s="2"/>
      <c r="CC213" s="2"/>
    </row>
    <row r="214" ht="15.0" customHeight="1">
      <c r="A214" s="4" t="s">
        <v>105</v>
      </c>
      <c r="B214" s="4" t="s">
        <v>105</v>
      </c>
      <c r="C214" s="4" t="s">
        <v>1599</v>
      </c>
      <c r="D214" s="4" t="s">
        <v>1337</v>
      </c>
      <c r="E214" s="4" t="s">
        <v>1338</v>
      </c>
      <c r="F214" s="4" t="s">
        <v>1339</v>
      </c>
      <c r="G214" s="4" t="s">
        <v>1340</v>
      </c>
      <c r="H214" s="4" t="s">
        <v>1341</v>
      </c>
      <c r="I214" s="4" t="s">
        <v>1555</v>
      </c>
      <c r="J214" s="4" t="s">
        <v>1600</v>
      </c>
      <c r="Z214" s="4" t="s">
        <v>1612</v>
      </c>
      <c r="AA214" s="2" t="s">
        <v>261</v>
      </c>
      <c r="AB214" s="2" t="s">
        <v>1347</v>
      </c>
      <c r="AC214" s="4" t="s">
        <v>117</v>
      </c>
      <c r="AD214" s="4" t="s">
        <v>118</v>
      </c>
      <c r="AE214" s="2" t="s">
        <v>1602</v>
      </c>
      <c r="AF214" s="2" t="s">
        <v>1603</v>
      </c>
      <c r="AG214" s="2" t="s">
        <v>1604</v>
      </c>
      <c r="AH214" s="2" t="s">
        <v>1463</v>
      </c>
      <c r="AI214" s="4" t="s">
        <v>122</v>
      </c>
      <c r="AJ214" s="2" t="s">
        <v>1613</v>
      </c>
      <c r="AK214" s="4" t="s">
        <v>1439</v>
      </c>
      <c r="AL214" s="4" t="s">
        <v>1614</v>
      </c>
      <c r="AM214" s="4" t="s">
        <v>266</v>
      </c>
      <c r="AN214" s="4" t="s">
        <v>1607</v>
      </c>
      <c r="AO214" s="4" t="s">
        <v>1615</v>
      </c>
      <c r="AP214" s="4" t="str">
        <f t="array" ref="AP214">XLOOKUP(TRUE, CHOOSECOLS(A214:V214, 1, 4, 7, 10, 13, 16, 19, 22)&lt;&gt;"", CHOOSECOLS(A214:V214, 1, 4, 7, 10, 13, 16, 19, 22), "", 0, -1)</f>
        <v>Abnormal rhythmicity</v>
      </c>
      <c r="AQ214" s="4" t="s">
        <v>269</v>
      </c>
      <c r="AR214" s="2" t="s">
        <v>270</v>
      </c>
      <c r="AS214" s="4" t="s">
        <v>331</v>
      </c>
      <c r="AT214" s="4" t="s">
        <v>1609</v>
      </c>
      <c r="BF214" s="4" t="s">
        <v>1610</v>
      </c>
      <c r="BR214" s="4" t="s">
        <v>136</v>
      </c>
      <c r="BS214" s="4" t="s">
        <v>1611</v>
      </c>
      <c r="BT214" s="4">
        <v>8.0</v>
      </c>
      <c r="BU214" s="2"/>
      <c r="BV214" s="2"/>
      <c r="BW214" s="2"/>
      <c r="BX214" s="2"/>
      <c r="BY214" s="2"/>
      <c r="BZ214" s="2"/>
      <c r="CA214" s="2"/>
      <c r="CB214" s="2"/>
      <c r="CC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AJ215" s="2"/>
      <c r="AN215" s="2"/>
      <c r="AO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row>
    <row r="216" ht="15.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AJ216" s="2"/>
      <c r="AN216" s="2"/>
      <c r="AO216" s="2"/>
      <c r="AP216" s="4" t="str">
        <f t="array" ref="AP216">XLOOKUP(TRUE, CHOOSECOLS(A216:V216, 1, 4, 7, 10, 13, 16, 19, 22)&lt;&gt;"", CHOOSECOLS(A216:V216, 1, 4, 7, 10, 13, 16, 19, 22), "", 0, -1)</f>
        <v/>
      </c>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t="str">
        <f t="array" ref="AP217">XLOOKUP(TRUE, CHOOSECOLS(A217:V217, 1, 4, 7, 10, 13, 16, 19, 22)&lt;&gt;"", CHOOSECOLS(A217:V217, 1, 4, 7, 10, 13, 16, 19, 22), "", 0, -1)</f>
        <v/>
      </c>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AJ218" s="2"/>
      <c r="AN218" s="2"/>
      <c r="AO218" s="2"/>
      <c r="AP218" s="4" t="str">
        <f t="array" ref="AP218">XLOOKUP(TRUE, CHOOSECOLS(A218:V218, 1, 4, 7, 10, 13, 16, 19, 22)&lt;&gt;"", CHOOSECOLS(A218:V218, 1, 4, 7, 10, 13, 16, 19, 22), "", 0, -1)</f>
        <v/>
      </c>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AJ219" s="2"/>
      <c r="AN219" s="2"/>
      <c r="AO219" s="2"/>
      <c r="AP219" s="4" t="str">
        <f t="array" ref="AP219">XLOOKUP(TRUE, CHOOSECOLS(A219:V219, 1, 4, 7, 10, 13, 16, 19, 22)&lt;&gt;"", CHOOSECOLS(A219:V219, 1, 4, 7, 10, 13, 16, 19, 22), "", 0, -1)</f>
        <v/>
      </c>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AJ220" s="2"/>
      <c r="AN220" s="2"/>
      <c r="AO220" s="2"/>
      <c r="AP220" s="4" t="str">
        <f t="array" ref="AP220">XLOOKUP(TRUE, CHOOSECOLS(A220:V220, 1, 4, 7, 10, 13, 16, 19, 22)&lt;&gt;"", CHOOSECOLS(A220:V220, 1, 4, 7, 10, 13, 16, 19, 22), "", 0, -1)</f>
        <v/>
      </c>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AJ221" s="2"/>
      <c r="AN221" s="2"/>
      <c r="AO221" s="2"/>
      <c r="AP221" s="4" t="str">
        <f t="array" ref="AP221">XLOOKUP(TRUE, CHOOSECOLS(A221:V221, 1, 4, 7, 10, 13, 16, 19, 22)&lt;&gt;"", CHOOSECOLS(A221:V221, 1, 4, 7, 10, 13, 16, 19, 22), "", 0, -1)</f>
        <v/>
      </c>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AJ222" s="2"/>
      <c r="AN222" s="2"/>
      <c r="AO222" s="2"/>
      <c r="AP222" s="4" t="str">
        <f t="array" ref="AP222">XLOOKUP(TRUE, CHOOSECOLS(A222:V222, 1, 4, 7, 10, 13, 16, 19, 22)&lt;&gt;"", CHOOSECOLS(A222:V222, 1, 4, 7, 10, 13, 16, 19, 22), "", 0, -1)</f>
        <v/>
      </c>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AJ223" s="2"/>
      <c r="AN223" s="2"/>
      <c r="AO223" s="2"/>
      <c r="AP223" s="4" t="str">
        <f t="array" ref="AP223">XLOOKUP(TRUE, CHOOSECOLS(A223:V223, 1, 4, 7, 10, 13, 16, 19, 22)&lt;&gt;"", CHOOSECOLS(A223:V223, 1, 4, 7, 10, 13, 16, 19, 22), "", 0, -1)</f>
        <v/>
      </c>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AJ224" s="2"/>
      <c r="AN224" s="2"/>
      <c r="AO224" s="2"/>
      <c r="AP224" s="4" t="str">
        <f t="array" ref="AP224">XLOOKUP(TRUE, CHOOSECOLS(A224:V224, 1, 4, 7, 10, 13, 16, 19, 22)&lt;&gt;"", CHOOSECOLS(A224:V224, 1, 4, 7, 10, 13, 16, 19, 22), "", 0, -1)</f>
        <v/>
      </c>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AJ225" s="2"/>
      <c r="AN225" s="2"/>
      <c r="AO225" s="2"/>
      <c r="AP225" s="4" t="str">
        <f t="array" ref="AP225">XLOOKUP(TRUE, CHOOSECOLS(A225:V225, 1, 4, 7, 10, 13, 16, 19, 22)&lt;&gt;"", CHOOSECOLS(A225:V225, 1, 4, 7, 10, 13, 16, 19, 22), "", 0, -1)</f>
        <v/>
      </c>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AJ226" s="2"/>
      <c r="AN226" s="2"/>
      <c r="AO226" s="2"/>
      <c r="AP226" s="4" t="str">
        <f t="array" ref="AP226">XLOOKUP(TRUE, CHOOSECOLS(A226:V226, 1, 4, 7, 10, 13, 16, 19, 22)&lt;&gt;"", CHOOSECOLS(A226:V226, 1, 4, 7, 10, 13, 16, 19, 22), "", 0, -1)</f>
        <v/>
      </c>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AJ227" s="2"/>
      <c r="AN227" s="2"/>
      <c r="AO227" s="2"/>
      <c r="AP227" s="4" t="str">
        <f t="array" ref="AP227">XLOOKUP(TRUE, CHOOSECOLS(A227:V227, 1, 4, 7, 10, 13, 16, 19, 22)&lt;&gt;"", CHOOSECOLS(A227:V227, 1, 4, 7, 10, 13, 16, 19, 22), "", 0, -1)</f>
        <v/>
      </c>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AJ228" s="2"/>
      <c r="AN228" s="2"/>
      <c r="AO228" s="2"/>
      <c r="AP228" s="4" t="str">
        <f t="array" ref="AP228">XLOOKUP(TRUE, CHOOSECOLS(A228:V228, 1, 4, 7, 10, 13, 16, 19, 22)&lt;&gt;"", CHOOSECOLS(A228:V228, 1, 4, 7, 10, 13, 16, 19, 22), "", 0, -1)</f>
        <v/>
      </c>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AJ229" s="2"/>
      <c r="AN229" s="2"/>
      <c r="AO229" s="2"/>
      <c r="AP229" s="4" t="str">
        <f t="array" ref="AP229">XLOOKUP(TRUE, CHOOSECOLS(A229:V229, 1, 4, 7, 10, 13, 16, 19, 22)&lt;&gt;"", CHOOSECOLS(A229:V229, 1, 4, 7, 10, 13, 16, 19, 22), "", 0, -1)</f>
        <v/>
      </c>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AJ230" s="2"/>
      <c r="AN230" s="2"/>
      <c r="AO230" s="2"/>
      <c r="AP230" s="4" t="str">
        <f t="array" ref="AP230">XLOOKUP(TRUE, CHOOSECOLS(A230:V230, 1, 4, 7, 10, 13, 16, 19, 22)&lt;&gt;"", CHOOSECOLS(A230:V230, 1, 4, 7, 10, 13, 16, 19, 22), "", 0, -1)</f>
        <v/>
      </c>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AJ231" s="2"/>
      <c r="AN231" s="2"/>
      <c r="AO231" s="2"/>
      <c r="AP231" s="4" t="str">
        <f t="array" ref="AP231">XLOOKUP(TRUE, CHOOSECOLS(A231:V231, 1, 4, 7, 10, 13, 16, 19, 22)&lt;&gt;"", CHOOSECOLS(A231:V231, 1, 4, 7, 10, 13, 16, 19, 22), "", 0, -1)</f>
        <v/>
      </c>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AJ232" s="2"/>
      <c r="AN232" s="2"/>
      <c r="AO232" s="2"/>
      <c r="AP232" s="4" t="str">
        <f t="array" ref="AP232">XLOOKUP(TRUE, CHOOSECOLS(A232:V232, 1, 4, 7, 10, 13, 16, 19, 22)&lt;&gt;"", CHOOSECOLS(A232:V232, 1, 4, 7, 10, 13, 16, 19, 22), "", 0, -1)</f>
        <v/>
      </c>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AJ233" s="2"/>
      <c r="AN233" s="2"/>
      <c r="AO233" s="2"/>
      <c r="AP233" s="4" t="str">
        <f t="array" ref="AP233">XLOOKUP(TRUE, CHOOSECOLS(A233:V233, 1, 4, 7, 10, 13, 16, 19, 22)&lt;&gt;"", CHOOSECOLS(A233:V233, 1, 4, 7, 10, 13, 16, 19, 22), "", 0, -1)</f>
        <v/>
      </c>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AJ234" s="2"/>
      <c r="AN234" s="2"/>
      <c r="AO234" s="2"/>
      <c r="AP234" s="4" t="str">
        <f t="array" ref="AP234">XLOOKUP(TRUE, CHOOSECOLS(A234:V234, 1, 4, 7, 10, 13, 16, 19, 22)&lt;&gt;"", CHOOSECOLS(A234:V234, 1, 4, 7, 10, 13, 16, 19, 22), "", 0, -1)</f>
        <v/>
      </c>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AJ235" s="2"/>
      <c r="AN235" s="2"/>
      <c r="AO235" s="2"/>
      <c r="AP235" s="4" t="str">
        <f t="array" ref="AP235">XLOOKUP(TRUE, CHOOSECOLS(A235:V235, 1, 4, 7, 10, 13, 16, 19, 22)&lt;&gt;"", CHOOSECOLS(A235:V235, 1, 4, 7, 10, 13, 16, 19, 22), "", 0, -1)</f>
        <v/>
      </c>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AJ236" s="2"/>
      <c r="AN236" s="2"/>
      <c r="AO236" s="2"/>
      <c r="AP236" s="4" t="str">
        <f t="array" ref="AP236">XLOOKUP(TRUE, CHOOSECOLS(A236:V236, 1, 4, 7, 10, 13, 16, 19, 22)&lt;&gt;"", CHOOSECOLS(A236:V236, 1, 4, 7, 10, 13, 16, 19, 22), "", 0, -1)</f>
        <v/>
      </c>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AJ237" s="2"/>
      <c r="AN237" s="2"/>
      <c r="AO237" s="2"/>
      <c r="AP237" s="4" t="str">
        <f t="array" ref="AP237">XLOOKUP(TRUE, CHOOSECOLS(A237:V237, 1, 4, 7, 10, 13, 16, 19, 22)&lt;&gt;"", CHOOSECOLS(A237:V237, 1, 4, 7, 10, 13, 16, 19, 22), "", 0, -1)</f>
        <v/>
      </c>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AJ238" s="2"/>
      <c r="AN238" s="2"/>
      <c r="AO238" s="2"/>
      <c r="AP238" s="4" t="str">
        <f t="array" ref="AP238">XLOOKUP(TRUE, CHOOSECOLS(A238:V238, 1, 4, 7, 10, 13, 16, 19, 22)&lt;&gt;"", CHOOSECOLS(A238:V238, 1, 4, 7, 10, 13, 16, 19, 22), "", 0, -1)</f>
        <v/>
      </c>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AJ239" s="2"/>
      <c r="AN239" s="2"/>
      <c r="AO239" s="2"/>
      <c r="AP239" s="4" t="str">
        <f t="array" ref="AP239">XLOOKUP(TRUE, CHOOSECOLS(A239:V239, 1, 4, 7, 10, 13, 16, 19, 22)&lt;&gt;"", CHOOSECOLS(A239:V239, 1, 4, 7, 10, 13, 16, 19, 22), "", 0, -1)</f>
        <v/>
      </c>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AJ240" s="2"/>
      <c r="AN240" s="2"/>
      <c r="AO240" s="2"/>
      <c r="AP240" s="4" t="str">
        <f t="array" ref="AP240">XLOOKUP(TRUE, CHOOSECOLS(A240:V240, 1, 4, 7, 10, 13, 16, 19, 22)&lt;&gt;"", CHOOSECOLS(A240:V240, 1, 4, 7, 10, 13, 16, 19, 22), "", 0, -1)</f>
        <v/>
      </c>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AJ241" s="2"/>
      <c r="AN241" s="2"/>
      <c r="AO241" s="2"/>
      <c r="AP241" s="4" t="str">
        <f t="array" ref="AP241">XLOOKUP(TRUE, CHOOSECOLS(A241:V241, 1, 4, 7, 10, 13, 16, 19, 22)&lt;&gt;"", CHOOSECOLS(A241:V241, 1, 4, 7, 10, 13, 16, 19, 22), "", 0, -1)</f>
        <v/>
      </c>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AJ242" s="2"/>
      <c r="AN242" s="2"/>
      <c r="AO242" s="2"/>
      <c r="AP242" s="4" t="str">
        <f t="array" ref="AP242">XLOOKUP(TRUE, CHOOSECOLS(A242:V242, 1, 4, 7, 10, 13, 16, 19, 22)&lt;&gt;"", CHOOSECOLS(A242:V242, 1, 4, 7, 10, 13, 16, 19, 22), "", 0, -1)</f>
        <v/>
      </c>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AJ243" s="2"/>
      <c r="AN243" s="2"/>
      <c r="AO243" s="2"/>
      <c r="AP243" s="4" t="str">
        <f t="array" ref="AP243">XLOOKUP(TRUE, CHOOSECOLS(A243:V243, 1, 4, 7, 10, 13, 16, 19, 22)&lt;&gt;"", CHOOSECOLS(A243:V243, 1, 4, 7, 10, 13, 16, 19, 22), "", 0, -1)</f>
        <v/>
      </c>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AJ244" s="2"/>
      <c r="AN244" s="2"/>
      <c r="AO244" s="2"/>
      <c r="AP244" s="4" t="str">
        <f t="array" ref="AP244">XLOOKUP(TRUE, CHOOSECOLS(A244:V244, 1, 4, 7, 10, 13, 16, 19, 22)&lt;&gt;"", CHOOSECOLS(A244:V244, 1, 4, 7, 10, 13, 16, 19, 22), "", 0, -1)</f>
        <v/>
      </c>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AJ245" s="2"/>
      <c r="AN245" s="2"/>
      <c r="AO245" s="2"/>
      <c r="AP245" s="4" t="str">
        <f t="array" ref="AP245">XLOOKUP(TRUE, CHOOSECOLS(A245:V245, 1, 4, 7, 10, 13, 16, 19, 22)&lt;&gt;"", CHOOSECOLS(A245:V245, 1, 4, 7, 10, 13, 16, 19, 22), "", 0, -1)</f>
        <v/>
      </c>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AJ246" s="2"/>
      <c r="AN246" s="2"/>
      <c r="AO246" s="2"/>
      <c r="AP246" s="4" t="str">
        <f t="array" ref="AP246">XLOOKUP(TRUE, CHOOSECOLS(A246:V246, 1, 4, 7, 10, 13, 16, 19, 22)&lt;&gt;"", CHOOSECOLS(A246:V246, 1, 4, 7, 10, 13, 16, 19, 22), "", 0, -1)</f>
        <v/>
      </c>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AJ247" s="2"/>
      <c r="AN247" s="2"/>
      <c r="AO247" s="2"/>
      <c r="AP247" s="4" t="str">
        <f t="array" ref="AP247">XLOOKUP(TRUE, CHOOSECOLS(A247:V247, 1, 4, 7, 10, 13, 16, 19, 22)&lt;&gt;"", CHOOSECOLS(A247:V247, 1, 4, 7, 10, 13, 16, 19, 22), "", 0, -1)</f>
        <v/>
      </c>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AJ248" s="2"/>
      <c r="AN248" s="2"/>
      <c r="AO248" s="2"/>
      <c r="AP248" s="4" t="str">
        <f t="array" ref="AP248">XLOOKUP(TRUE, CHOOSECOLS(A248:V248, 1, 4, 7, 10, 13, 16, 19, 22)&lt;&gt;"", CHOOSECOLS(A248:V248, 1, 4, 7, 10, 13, 16, 19, 22), "", 0, -1)</f>
        <v/>
      </c>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AJ249" s="2"/>
      <c r="AN249" s="2"/>
      <c r="AO249" s="2"/>
      <c r="AP249" s="4" t="str">
        <f t="array" ref="AP249">XLOOKUP(TRUE, CHOOSECOLS(A249:V249, 1, 4, 7, 10, 13, 16, 19, 22)&lt;&gt;"", CHOOSECOLS(A249:V249, 1, 4, 7, 10, 13, 16, 19, 22), "", 0, -1)</f>
        <v/>
      </c>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AJ250" s="2"/>
      <c r="AN250" s="2"/>
      <c r="AO250" s="2"/>
      <c r="AP250" s="4" t="str">
        <f t="array" ref="AP250">XLOOKUP(TRUE, CHOOSECOLS(A250:V250, 1, 4, 7, 10, 13, 16, 19, 22)&lt;&gt;"", CHOOSECOLS(A250:V250, 1, 4, 7, 10, 13, 16, 19, 22), "", 0, -1)</f>
        <v/>
      </c>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AJ251" s="2"/>
      <c r="AN251" s="2"/>
      <c r="AO251" s="2"/>
      <c r="AP251" s="4" t="str">
        <f t="array" ref="AP251">XLOOKUP(TRUE, CHOOSECOLS(A251:V251, 1, 4, 7, 10, 13, 16, 19, 22)&lt;&gt;"", CHOOSECOLS(A251:V251, 1, 4, 7, 10, 13, 16, 19, 22), "", 0, -1)</f>
        <v/>
      </c>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AJ252" s="2"/>
      <c r="AN252" s="2"/>
      <c r="AO252" s="2"/>
      <c r="AP252" s="4" t="str">
        <f t="array" ref="AP252">XLOOKUP(TRUE, CHOOSECOLS(A252:V252, 1, 4, 7, 10, 13, 16, 19, 22)&lt;&gt;"", CHOOSECOLS(A252:V252, 1, 4, 7, 10, 13, 16, 19, 22), "", 0, -1)</f>
        <v/>
      </c>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AJ253" s="2"/>
      <c r="AN253" s="2"/>
      <c r="AO253" s="2"/>
      <c r="AP253" s="4" t="str">
        <f t="array" ref="AP253">XLOOKUP(TRUE, CHOOSECOLS(A253:V253, 1, 4, 7, 10, 13, 16, 19, 22)&lt;&gt;"", CHOOSECOLS(A253:V253, 1, 4, 7, 10, 13, 16, 19, 22), "", 0, -1)</f>
        <v/>
      </c>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AJ254" s="2"/>
      <c r="AN254" s="2"/>
      <c r="AO254" s="2"/>
      <c r="AP254" s="4" t="str">
        <f t="array" ref="AP254">XLOOKUP(TRUE, CHOOSECOLS(A254:V254, 1, 4, 7, 10, 13, 16, 19, 22)&lt;&gt;"", CHOOSECOLS(A254:V254, 1, 4, 7, 10, 13, 16, 19, 22), "", 0, -1)</f>
        <v/>
      </c>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AJ255" s="2"/>
      <c r="AN255" s="2"/>
      <c r="AO255" s="2"/>
      <c r="AP255" s="4" t="str">
        <f t="array" ref="AP255">XLOOKUP(TRUE, CHOOSECOLS(A255:V255, 1, 4, 7, 10, 13, 16, 19, 22)&lt;&gt;"", CHOOSECOLS(A255:V255, 1, 4, 7, 10, 13, 16, 19, 22), "", 0, -1)</f>
        <v/>
      </c>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AJ256" s="2"/>
      <c r="AN256" s="2"/>
      <c r="AO256" s="2"/>
      <c r="AP256" s="4" t="str">
        <f t="array" ref="AP256">XLOOKUP(TRUE, CHOOSECOLS(A256:V256, 1, 4, 7, 10, 13, 16, 19, 22)&lt;&gt;"", CHOOSECOLS(A256:V256, 1, 4, 7, 10, 13, 16, 19, 22), "", 0, -1)</f>
        <v/>
      </c>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AJ257" s="2"/>
      <c r="AN257" s="2"/>
      <c r="AO257" s="2"/>
      <c r="AP257" s="4" t="str">
        <f t="array" ref="AP257">XLOOKUP(TRUE, CHOOSECOLS(A257:V257, 1, 4, 7, 10, 13, 16, 19, 22)&lt;&gt;"", CHOOSECOLS(A257:V257, 1, 4, 7, 10, 13, 16, 19, 22), "", 0, -1)</f>
        <v/>
      </c>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AJ258" s="2"/>
      <c r="AN258" s="2"/>
      <c r="AO258" s="2"/>
      <c r="AP258" s="4" t="str">
        <f t="array" ref="AP258">XLOOKUP(TRUE, CHOOSECOLS(A258:V258, 1, 4, 7, 10, 13, 16, 19, 22)&lt;&gt;"", CHOOSECOLS(A258:V258, 1, 4, 7, 10, 13, 16, 19, 22), "", 0, -1)</f>
        <v/>
      </c>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AJ259" s="2"/>
      <c r="AN259" s="2"/>
      <c r="AO259" s="2"/>
      <c r="AP259" s="4" t="str">
        <f t="array" ref="AP259">XLOOKUP(TRUE, CHOOSECOLS(A259:V259, 1, 4, 7, 10, 13, 16, 19, 22)&lt;&gt;"", CHOOSECOLS(A259:V259, 1, 4, 7, 10, 13, 16, 19, 22), "", 0, -1)</f>
        <v/>
      </c>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AJ260" s="2"/>
      <c r="AN260" s="2"/>
      <c r="AO260" s="2"/>
      <c r="AP260" s="4" t="str">
        <f t="array" ref="AP260">XLOOKUP(TRUE, CHOOSECOLS(A260:V260, 1, 4, 7, 10, 13, 16, 19, 22)&lt;&gt;"", CHOOSECOLS(A260:V260, 1, 4, 7, 10, 13, 16, 19, 22), "", 0, -1)</f>
        <v/>
      </c>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AJ261" s="2"/>
      <c r="AN261" s="2"/>
      <c r="AO261" s="2"/>
      <c r="AP261" s="4" t="str">
        <f t="array" ref="AP261">XLOOKUP(TRUE, CHOOSECOLS(A261:V261, 1, 4, 7, 10, 13, 16, 19, 22)&lt;&gt;"", CHOOSECOLS(A261:V261, 1, 4, 7, 10, 13, 16, 19, 22), "", 0, -1)</f>
        <v/>
      </c>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AJ262" s="2"/>
      <c r="AN262" s="2"/>
      <c r="AO262" s="2"/>
      <c r="AP262" s="4" t="str">
        <f t="array" ref="AP262">XLOOKUP(TRUE, CHOOSECOLS(A262:V262, 1, 4, 7, 10, 13, 16, 19, 22)&lt;&gt;"", CHOOSECOLS(A262:V262, 1, 4, 7, 10, 13, 16, 19, 22), "", 0, -1)</f>
        <v/>
      </c>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AJ263" s="2"/>
      <c r="AN263" s="2"/>
      <c r="AO263" s="2"/>
      <c r="AP263" s="4" t="str">
        <f t="array" ref="AP263">XLOOKUP(TRUE, CHOOSECOLS(A263:V263, 1, 4, 7, 10, 13, 16, 19, 22)&lt;&gt;"", CHOOSECOLS(A263:V263, 1, 4, 7, 10, 13, 16, 19, 22), "", 0, -1)</f>
        <v/>
      </c>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AJ264" s="2"/>
      <c r="AN264" s="2"/>
      <c r="AO264" s="2"/>
      <c r="AP264" s="4" t="str">
        <f t="array" ref="AP264">XLOOKUP(TRUE, CHOOSECOLS(A264:V264, 1, 4, 7, 10, 13, 16, 19, 22)&lt;&gt;"", CHOOSECOLS(A264:V264, 1, 4, 7, 10, 13, 16, 19, 22), "", 0, -1)</f>
        <v/>
      </c>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AJ265" s="2"/>
      <c r="AN265" s="2"/>
      <c r="AO265" s="2"/>
      <c r="AP265" s="4" t="str">
        <f t="array" ref="AP265">XLOOKUP(TRUE, CHOOSECOLS(A265:V265, 1, 4, 7, 10, 13, 16, 19, 22)&lt;&gt;"", CHOOSECOLS(A265:V265, 1, 4, 7, 10, 13, 16, 19, 22), "", 0, -1)</f>
        <v/>
      </c>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AJ266" s="2"/>
      <c r="AN266" s="2"/>
      <c r="AO266" s="2"/>
      <c r="AP266" s="4" t="str">
        <f t="array" ref="AP266">XLOOKUP(TRUE, CHOOSECOLS(A266:V266, 1, 4, 7, 10, 13, 16, 19, 22)&lt;&gt;"", CHOOSECOLS(A266:V266, 1, 4, 7, 10, 13, 16, 19, 22), "", 0, -1)</f>
        <v/>
      </c>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AJ267" s="2"/>
      <c r="AN267" s="2"/>
      <c r="AO267" s="2"/>
      <c r="AP267" s="4" t="str">
        <f t="array" ref="AP267">XLOOKUP(TRUE, CHOOSECOLS(A267:V267, 1, 4, 7, 10, 13, 16, 19, 22)&lt;&gt;"", CHOOSECOLS(A267:V267, 1, 4, 7, 10, 13, 16, 19, 22), "", 0, -1)</f>
        <v/>
      </c>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AJ268" s="2"/>
      <c r="AN268" s="2"/>
      <c r="AO268" s="2"/>
      <c r="AP268" s="4" t="str">
        <f t="array" ref="AP268">XLOOKUP(TRUE, CHOOSECOLS(A268:V268, 1, 4, 7, 10, 13, 16, 19, 22)&lt;&gt;"", CHOOSECOLS(A268:V268, 1, 4, 7, 10, 13, 16, 19, 22), "", 0, -1)</f>
        <v/>
      </c>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AJ269" s="2"/>
      <c r="AN269" s="2"/>
      <c r="AO269" s="2"/>
      <c r="AP269" s="4" t="str">
        <f t="array" ref="AP269">XLOOKUP(TRUE, CHOOSECOLS(A269:V269, 1, 4, 7, 10, 13, 16, 19, 22)&lt;&gt;"", CHOOSECOLS(A269:V269, 1, 4, 7, 10, 13, 16, 19, 22), "", 0, -1)</f>
        <v/>
      </c>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AJ270" s="2"/>
      <c r="AN270" s="2"/>
      <c r="AO270" s="2"/>
      <c r="AP270" s="4" t="str">
        <f t="array" ref="AP270">XLOOKUP(TRUE, CHOOSECOLS(A270:V270, 1, 4, 7, 10, 13, 16, 19, 22)&lt;&gt;"", CHOOSECOLS(A270:V270, 1, 4, 7, 10, 13, 16, 19, 22), "", 0, -1)</f>
        <v/>
      </c>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AJ271" s="2"/>
      <c r="AN271" s="2"/>
      <c r="AO271" s="2"/>
      <c r="AP271" s="4" t="str">
        <f t="array" ref="AP271">XLOOKUP(TRUE, CHOOSECOLS(A271:V271, 1, 4, 7, 10, 13, 16, 19, 22)&lt;&gt;"", CHOOSECOLS(A271:V271, 1, 4, 7, 10, 13, 16, 19, 22), "", 0, -1)</f>
        <v/>
      </c>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AJ272" s="2"/>
      <c r="AN272" s="2"/>
      <c r="AO272" s="2"/>
      <c r="AP272" s="4" t="str">
        <f t="array" ref="AP272">XLOOKUP(TRUE, CHOOSECOLS(A272:V272, 1, 4, 7, 10, 13, 16, 19, 22)&lt;&gt;"", CHOOSECOLS(A272:V272, 1, 4, 7, 10, 13, 16, 19, 22), "", 0, -1)</f>
        <v/>
      </c>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AJ273" s="2"/>
      <c r="AN273" s="2"/>
      <c r="AO273" s="2"/>
      <c r="AP273" s="4" t="str">
        <f t="array" ref="AP273">XLOOKUP(TRUE, CHOOSECOLS(A273:V273, 1, 4, 7, 10, 13, 16, 19, 22)&lt;&gt;"", CHOOSECOLS(A273:V273, 1, 4, 7, 10, 13, 16, 19, 22), "", 0, -1)</f>
        <v/>
      </c>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AJ274" s="2"/>
      <c r="AN274" s="2"/>
      <c r="AO274" s="2"/>
      <c r="AP274" s="4" t="str">
        <f t="array" ref="AP274">XLOOKUP(TRUE, CHOOSECOLS(A274:V274, 1, 4, 7, 10, 13, 16, 19, 22)&lt;&gt;"", CHOOSECOLS(A274:V274, 1, 4, 7, 10, 13, 16, 19, 22), "", 0, -1)</f>
        <v/>
      </c>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AJ275" s="2"/>
      <c r="AN275" s="2"/>
      <c r="AO275" s="2"/>
      <c r="AP275" s="4" t="str">
        <f t="array" ref="AP275">XLOOKUP(TRUE, CHOOSECOLS(A275:V275, 1, 4, 7, 10, 13, 16, 19, 22)&lt;&gt;"", CHOOSECOLS(A275:V275, 1, 4, 7, 10, 13, 16, 19, 22), "", 0, -1)</f>
        <v/>
      </c>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AJ276" s="2"/>
      <c r="AN276" s="2"/>
      <c r="AO276" s="2"/>
      <c r="AP276" s="4" t="str">
        <f t="array" ref="AP276">XLOOKUP(TRUE, CHOOSECOLS(A276:V276, 1, 4, 7, 10, 13, 16, 19, 22)&lt;&gt;"", CHOOSECOLS(A276:V276, 1, 4, 7, 10, 13, 16, 19, 22), "", 0, -1)</f>
        <v/>
      </c>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AJ277" s="2"/>
      <c r="AN277" s="2"/>
      <c r="AO277" s="2"/>
      <c r="AP277" s="4" t="str">
        <f t="array" ref="AP277">XLOOKUP(TRUE, CHOOSECOLS(A277:V277, 1, 4, 7, 10, 13, 16, 19, 22)&lt;&gt;"", CHOOSECOLS(A277:V277, 1, 4, 7, 10, 13, 16, 19, 22), "", 0, -1)</f>
        <v/>
      </c>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AJ278" s="2"/>
      <c r="AN278" s="2"/>
      <c r="AO278" s="2"/>
      <c r="AP278" s="4" t="str">
        <f t="array" ref="AP278">XLOOKUP(TRUE, CHOOSECOLS(A278:V278, 1, 4, 7, 10, 13, 16, 19, 22)&lt;&gt;"", CHOOSECOLS(A278:V278, 1, 4, 7, 10, 13, 16, 19, 22), "", 0, -1)</f>
        <v/>
      </c>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AJ279" s="2"/>
      <c r="AN279" s="2"/>
      <c r="AO279" s="2"/>
      <c r="AP279" s="4" t="str">
        <f t="array" ref="AP279">XLOOKUP(TRUE, CHOOSECOLS(A279:V279, 1, 4, 7, 10, 13, 16, 19, 22)&lt;&gt;"", CHOOSECOLS(A279:V279, 1, 4, 7, 10, 13, 16, 19, 22), "", 0, -1)</f>
        <v/>
      </c>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AJ280" s="2"/>
      <c r="AN280" s="2"/>
      <c r="AO280" s="2"/>
      <c r="AP280" s="4" t="str">
        <f t="array" ref="AP280">XLOOKUP(TRUE, CHOOSECOLS(A280:V280, 1, 4, 7, 10, 13, 16, 19, 22)&lt;&gt;"", CHOOSECOLS(A280:V280, 1, 4, 7, 10, 13, 16, 19, 22), "", 0, -1)</f>
        <v/>
      </c>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AJ281" s="2"/>
      <c r="AN281" s="2"/>
      <c r="AO281" s="2"/>
      <c r="AP281" s="4" t="str">
        <f t="array" ref="AP281">XLOOKUP(TRUE, CHOOSECOLS(A281:V281, 1, 4, 7, 10, 13, 16, 19, 22)&lt;&gt;"", CHOOSECOLS(A281:V281, 1, 4, 7, 10, 13, 16, 19, 22), "", 0, -1)</f>
        <v/>
      </c>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AJ282" s="2"/>
      <c r="AN282" s="2"/>
      <c r="AO282" s="2"/>
      <c r="AP282" s="4" t="str">
        <f t="array" ref="AP282">XLOOKUP(TRUE, CHOOSECOLS(A282:V282, 1, 4, 7, 10, 13, 16, 19, 22)&lt;&gt;"", CHOOSECOLS(A282:V282, 1, 4, 7, 10, 13, 16, 19, 22), "", 0, -1)</f>
        <v/>
      </c>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AJ283" s="2"/>
      <c r="AN283" s="2"/>
      <c r="AO283" s="2"/>
      <c r="AP283" s="4" t="str">
        <f t="array" ref="AP283">XLOOKUP(TRUE, CHOOSECOLS(A283:V283, 1, 4, 7, 10, 13, 16, 19, 22)&lt;&gt;"", CHOOSECOLS(A283:V283, 1, 4, 7, 10, 13, 16, 19, 22), "", 0, -1)</f>
        <v/>
      </c>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AJ284" s="2"/>
      <c r="AN284" s="2"/>
      <c r="AO284" s="2"/>
      <c r="AP284" s="4" t="str">
        <f t="array" ref="AP284">XLOOKUP(TRUE, CHOOSECOLS(A284:V284, 1, 4, 7, 10, 13, 16, 19, 22)&lt;&gt;"", CHOOSECOLS(A284:V284, 1, 4, 7, 10, 13, 16, 19, 22), "", 0, -1)</f>
        <v/>
      </c>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AJ285" s="2"/>
      <c r="AN285" s="2"/>
      <c r="AO285" s="2"/>
      <c r="AP285" s="4" t="str">
        <f t="array" ref="AP285">XLOOKUP(TRUE, CHOOSECOLS(A285:V285, 1, 4, 7, 10, 13, 16, 19, 22)&lt;&gt;"", CHOOSECOLS(A285:V285, 1, 4, 7, 10, 13, 16, 19, 22), "", 0, -1)</f>
        <v/>
      </c>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AJ286" s="2"/>
      <c r="AN286" s="2"/>
      <c r="AO286" s="2"/>
      <c r="AP286" s="4" t="str">
        <f t="array" ref="AP286">XLOOKUP(TRUE, CHOOSECOLS(A286:V286, 1, 4, 7, 10, 13, 16, 19, 22)&lt;&gt;"", CHOOSECOLS(A286:V286, 1, 4, 7, 10, 13, 16, 19, 22), "", 0, -1)</f>
        <v/>
      </c>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AJ287" s="2"/>
      <c r="AN287" s="2"/>
      <c r="AO287" s="2"/>
      <c r="AP287" s="4" t="str">
        <f t="array" ref="AP287">XLOOKUP(TRUE, CHOOSECOLS(A287:V287, 1, 4, 7, 10, 13, 16, 19, 22)&lt;&gt;"", CHOOSECOLS(A287:V287, 1, 4, 7, 10, 13, 16, 19, 22), "", 0, -1)</f>
        <v/>
      </c>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AJ288" s="2"/>
      <c r="AN288" s="2"/>
      <c r="AO288" s="2"/>
      <c r="AP288" s="4" t="str">
        <f t="array" ref="AP288">XLOOKUP(TRUE, CHOOSECOLS(A288:V288, 1, 4, 7, 10, 13, 16, 19, 22)&lt;&gt;"", CHOOSECOLS(A288:V288, 1, 4, 7, 10, 13, 16, 19, 22), "", 0, -1)</f>
        <v/>
      </c>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AJ289" s="2"/>
      <c r="AN289" s="2"/>
      <c r="AO289" s="2"/>
      <c r="AP289" s="4" t="str">
        <f t="array" ref="AP289">XLOOKUP(TRUE, CHOOSECOLS(A289:V289, 1, 4, 7, 10, 13, 16, 19, 22)&lt;&gt;"", CHOOSECOLS(A289:V289, 1, 4, 7, 10, 13, 16, 19, 22), "", 0, -1)</f>
        <v/>
      </c>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AJ290" s="2"/>
      <c r="AN290" s="2"/>
      <c r="AO290" s="2"/>
      <c r="AP290" s="4" t="str">
        <f t="array" ref="AP290">XLOOKUP(TRUE, CHOOSECOLS(A290:V290, 1, 4, 7, 10, 13, 16, 19, 22)&lt;&gt;"", CHOOSECOLS(A290:V290, 1, 4, 7, 10, 13, 16, 19, 22), "", 0, -1)</f>
        <v/>
      </c>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AJ291" s="2"/>
      <c r="AN291" s="2"/>
      <c r="AO291" s="2"/>
      <c r="AP291" s="4" t="str">
        <f t="array" ref="AP291">XLOOKUP(TRUE, CHOOSECOLS(A291:V291, 1, 4, 7, 10, 13, 16, 19, 22)&lt;&gt;"", CHOOSECOLS(A291:V291, 1, 4, 7, 10, 13, 16, 19, 22), "", 0, -1)</f>
        <v/>
      </c>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AJ292" s="2"/>
      <c r="AN292" s="2"/>
      <c r="AO292" s="2"/>
      <c r="AP292" s="4" t="str">
        <f t="array" ref="AP292">XLOOKUP(TRUE, CHOOSECOLS(A292:V292, 1, 4, 7, 10, 13, 16, 19, 22)&lt;&gt;"", CHOOSECOLS(A292:V292, 1, 4, 7, 10, 13, 16, 19, 22), "", 0, -1)</f>
        <v/>
      </c>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AJ293" s="2"/>
      <c r="AN293" s="2"/>
      <c r="AO293" s="2"/>
      <c r="AP293" s="4" t="str">
        <f t="array" ref="AP293">XLOOKUP(TRUE, CHOOSECOLS(A293:V293, 1, 4, 7, 10, 13, 16, 19, 22)&lt;&gt;"", CHOOSECOLS(A293:V293, 1, 4, 7, 10, 13, 16, 19, 22), "", 0, -1)</f>
        <v/>
      </c>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AJ294" s="2"/>
      <c r="AN294" s="2"/>
      <c r="AO294" s="2"/>
      <c r="AP294" s="4" t="str">
        <f t="array" ref="AP294">XLOOKUP(TRUE, CHOOSECOLS(A294:V294, 1, 4, 7, 10, 13, 16, 19, 22)&lt;&gt;"", CHOOSECOLS(A294:V294, 1, 4, 7, 10, 13, 16, 19, 22), "", 0, -1)</f>
        <v/>
      </c>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AJ295" s="2"/>
      <c r="AN295" s="2"/>
      <c r="AO295" s="2"/>
      <c r="AP295" s="4" t="str">
        <f t="array" ref="AP295">XLOOKUP(TRUE, CHOOSECOLS(A295:V295, 1, 4, 7, 10, 13, 16, 19, 22)&lt;&gt;"", CHOOSECOLS(A295:V295, 1, 4, 7, 10, 13, 16, 19, 22), "", 0, -1)</f>
        <v/>
      </c>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AJ296" s="2"/>
      <c r="AN296" s="2"/>
      <c r="AO296" s="2"/>
      <c r="AP296" s="4" t="str">
        <f t="array" ref="AP296">XLOOKUP(TRUE, CHOOSECOLS(A296:V296, 1, 4, 7, 10, 13, 16, 19, 22)&lt;&gt;"", CHOOSECOLS(A296:V296, 1, 4, 7, 10, 13, 16, 19, 22), "", 0, -1)</f>
        <v/>
      </c>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AJ297" s="2"/>
      <c r="AN297" s="2"/>
      <c r="AO297" s="2"/>
      <c r="AP297" s="4" t="str">
        <f t="array" ref="AP297">XLOOKUP(TRUE, CHOOSECOLS(A297:V297, 1, 4, 7, 10, 13, 16, 19, 22)&lt;&gt;"", CHOOSECOLS(A297:V297, 1, 4, 7, 10, 13, 16, 19, 22), "", 0, -1)</f>
        <v/>
      </c>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AJ298" s="2"/>
      <c r="AN298" s="2"/>
      <c r="AO298" s="2"/>
      <c r="AP298" s="4" t="str">
        <f t="array" ref="AP298">XLOOKUP(TRUE, CHOOSECOLS(A298:V298, 1, 4, 7, 10, 13, 16, 19, 22)&lt;&gt;"", CHOOSECOLS(A298:V298, 1, 4, 7, 10, 13, 16, 19, 22), "", 0, -1)</f>
        <v/>
      </c>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AJ299" s="2"/>
      <c r="AN299" s="2"/>
      <c r="AO299" s="2"/>
      <c r="AP299" s="4" t="str">
        <f t="array" ref="AP299">XLOOKUP(TRUE, CHOOSECOLS(A299:V299, 1, 4, 7, 10, 13, 16, 19, 22)&lt;&gt;"", CHOOSECOLS(A299:V299, 1, 4, 7, 10, 13, 16, 19, 22), "", 0, -1)</f>
        <v/>
      </c>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AJ300" s="2"/>
      <c r="AN300" s="2"/>
      <c r="AO300" s="2"/>
      <c r="AP300" s="4" t="str">
        <f t="array" ref="AP300">XLOOKUP(TRUE, CHOOSECOLS(A300:V300, 1, 4, 7, 10, 13, 16, 19, 22)&lt;&gt;"", CHOOSECOLS(A300:V300, 1, 4, 7, 10, 13, 16, 19, 22), "", 0, -1)</f>
        <v/>
      </c>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AJ301" s="2"/>
      <c r="AN301" s="2"/>
      <c r="AO301" s="2"/>
      <c r="AP301" s="4" t="str">
        <f t="array" ref="AP301">XLOOKUP(TRUE, CHOOSECOLS(A301:V301, 1, 4, 7, 10, 13, 16, 19, 22)&lt;&gt;"", CHOOSECOLS(A301:V301, 1, 4, 7, 10, 13, 16, 19, 22), "", 0, -1)</f>
        <v/>
      </c>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AJ302" s="2"/>
      <c r="AN302" s="2"/>
      <c r="AO302" s="2"/>
      <c r="AP302" s="4" t="str">
        <f t="array" ref="AP302">XLOOKUP(TRUE, CHOOSECOLS(A302:V302, 1, 4, 7, 10, 13, 16, 19, 22)&lt;&gt;"", CHOOSECOLS(A302:V302, 1, 4, 7, 10, 13, 16, 19, 22), "", 0, -1)</f>
        <v/>
      </c>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AJ303" s="2"/>
      <c r="AN303" s="2"/>
      <c r="AO303" s="2"/>
      <c r="AP303" s="4" t="str">
        <f t="array" ref="AP303">XLOOKUP(TRUE, CHOOSECOLS(A303:V303, 1, 4, 7, 10, 13, 16, 19, 22)&lt;&gt;"", CHOOSECOLS(A303:V303, 1, 4, 7, 10, 13, 16, 19, 22), "", 0, -1)</f>
        <v/>
      </c>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AJ304" s="2"/>
      <c r="AN304" s="2"/>
      <c r="AO304" s="2"/>
      <c r="AP304" s="4" t="str">
        <f t="array" ref="AP304">XLOOKUP(TRUE, CHOOSECOLS(A304:V304, 1, 4, 7, 10, 13, 16, 19, 22)&lt;&gt;"", CHOOSECOLS(A304:V304, 1, 4, 7, 10, 13, 16, 19, 22), "", 0, -1)</f>
        <v/>
      </c>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AJ305" s="2"/>
      <c r="AN305" s="2"/>
      <c r="AO305" s="2"/>
      <c r="AP305" s="4" t="str">
        <f t="array" ref="AP305">XLOOKUP(TRUE, CHOOSECOLS(A305:V305, 1, 4, 7, 10, 13, 16, 19, 22)&lt;&gt;"", CHOOSECOLS(A305:V305, 1, 4, 7, 10, 13, 16, 19, 22), "", 0, -1)</f>
        <v/>
      </c>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AJ306" s="2"/>
      <c r="AN306" s="2"/>
      <c r="AO306" s="2"/>
      <c r="AP306" s="4" t="str">
        <f t="array" ref="AP306">XLOOKUP(TRUE, CHOOSECOLS(A306:V306, 1, 4, 7, 10, 13, 16, 19, 22)&lt;&gt;"", CHOOSECOLS(A306:V306, 1, 4, 7, 10, 13, 16, 19, 22), "", 0, -1)</f>
        <v/>
      </c>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AJ307" s="2"/>
      <c r="AN307" s="2"/>
      <c r="AO307" s="2"/>
      <c r="AP307" s="4" t="str">
        <f t="array" ref="AP307">XLOOKUP(TRUE, CHOOSECOLS(A307:V307, 1, 4, 7, 10, 13, 16, 19, 22)&lt;&gt;"", CHOOSECOLS(A307:V307, 1, 4, 7, 10, 13, 16, 19, 22), "", 0, -1)</f>
        <v/>
      </c>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AJ308" s="2"/>
      <c r="AN308" s="2"/>
      <c r="AO308" s="2"/>
      <c r="AP308" s="4" t="str">
        <f t="array" ref="AP308">XLOOKUP(TRUE, CHOOSECOLS(A308:V308, 1, 4, 7, 10, 13, 16, 19, 22)&lt;&gt;"", CHOOSECOLS(A308:V308, 1, 4, 7, 10, 13, 16, 19, 22), "", 0, -1)</f>
        <v/>
      </c>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AJ309" s="2"/>
      <c r="AN309" s="2"/>
      <c r="AO309" s="2"/>
      <c r="AP309" s="4" t="str">
        <f t="array" ref="AP309">XLOOKUP(TRUE, CHOOSECOLS(A309:V309, 1, 4, 7, 10, 13, 16, 19, 22)&lt;&gt;"", CHOOSECOLS(A309:V309, 1, 4, 7, 10, 13, 16, 19, 22), "", 0, -1)</f>
        <v/>
      </c>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AJ310" s="2"/>
      <c r="AN310" s="2"/>
      <c r="AO310" s="2"/>
      <c r="AP310" s="4" t="str">
        <f t="array" ref="AP310">XLOOKUP(TRUE, CHOOSECOLS(A310:V310, 1, 4, 7, 10, 13, 16, 19, 22)&lt;&gt;"", CHOOSECOLS(A310:V310, 1, 4, 7, 10, 13, 16, 19, 22), "", 0, -1)</f>
        <v/>
      </c>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AJ311" s="2"/>
      <c r="AN311" s="2"/>
      <c r="AO311" s="2"/>
      <c r="AP311" s="4" t="str">
        <f t="array" ref="AP311">XLOOKUP(TRUE, CHOOSECOLS(A311:V311, 1, 4, 7, 10, 13, 16, 19, 22)&lt;&gt;"", CHOOSECOLS(A311:V311, 1, 4, 7, 10, 13, 16, 19, 22), "", 0, -1)</f>
        <v/>
      </c>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AJ312" s="2"/>
      <c r="AN312" s="2"/>
      <c r="AO312" s="2"/>
      <c r="AP312" s="4" t="str">
        <f t="array" ref="AP312">XLOOKUP(TRUE, CHOOSECOLS(A312:V312, 1, 4, 7, 10, 13, 16, 19, 22)&lt;&gt;"", CHOOSECOLS(A312:V312, 1, 4, 7, 10, 13, 16, 19, 22), "", 0, -1)</f>
        <v/>
      </c>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AJ313" s="2"/>
      <c r="AN313" s="2"/>
      <c r="AO313" s="2"/>
      <c r="AP313" s="4" t="str">
        <f t="array" ref="AP313">XLOOKUP(TRUE, CHOOSECOLS(A313:V313, 1, 4, 7, 10, 13, 16, 19, 22)&lt;&gt;"", CHOOSECOLS(A313:V313, 1, 4, 7, 10, 13, 16, 19, 22), "", 0, -1)</f>
        <v/>
      </c>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AJ314" s="2"/>
      <c r="AN314" s="2"/>
      <c r="AO314" s="2"/>
      <c r="AP314" s="4" t="str">
        <f t="array" ref="AP314">XLOOKUP(TRUE, CHOOSECOLS(A314:V314, 1, 4, 7, 10, 13, 16, 19, 22)&lt;&gt;"", CHOOSECOLS(A314:V314, 1, 4, 7, 10, 13, 16, 19, 22), "", 0, -1)</f>
        <v/>
      </c>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AJ315" s="2"/>
      <c r="AN315" s="2"/>
      <c r="AO315" s="2"/>
      <c r="AP315" s="4" t="str">
        <f t="array" ref="AP315">XLOOKUP(TRUE, CHOOSECOLS(A315:V315, 1, 4, 7, 10, 13, 16, 19, 22)&lt;&gt;"", CHOOSECOLS(A315:V315, 1, 4, 7, 10, 13, 16, 19, 22), "", 0, -1)</f>
        <v/>
      </c>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AJ316" s="2"/>
      <c r="AN316" s="2"/>
      <c r="AO316" s="2"/>
      <c r="AP316" s="4" t="str">
        <f t="array" ref="AP316">XLOOKUP(TRUE, CHOOSECOLS(A316:V316, 1, 4, 7, 10, 13, 16, 19, 22)&lt;&gt;"", CHOOSECOLS(A316:V316, 1, 4, 7, 10, 13, 16, 19, 22), "", 0, -1)</f>
        <v/>
      </c>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AJ317" s="2"/>
      <c r="AN317" s="2"/>
      <c r="AO317" s="2"/>
      <c r="AP317" s="4" t="str">
        <f t="array" ref="AP317">XLOOKUP(TRUE, CHOOSECOLS(A317:V317, 1, 4, 7, 10, 13, 16, 19, 22)&lt;&gt;"", CHOOSECOLS(A317:V317, 1, 4, 7, 10, 13, 16, 19, 22), "", 0, -1)</f>
        <v/>
      </c>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AJ318" s="2"/>
      <c r="AN318" s="2"/>
      <c r="AO318" s="2"/>
      <c r="AP318" s="4" t="str">
        <f t="array" ref="AP318">XLOOKUP(TRUE, CHOOSECOLS(A318:V318, 1, 4, 7, 10, 13, 16, 19, 22)&lt;&gt;"", CHOOSECOLS(A318:V318, 1, 4, 7, 10, 13, 16, 19, 22), "", 0, -1)</f>
        <v/>
      </c>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AJ319" s="2"/>
      <c r="AN319" s="2"/>
      <c r="AO319" s="2"/>
      <c r="AP319" s="4" t="str">
        <f t="array" ref="AP319">XLOOKUP(TRUE, CHOOSECOLS(A319:V319, 1, 4, 7, 10, 13, 16, 19, 22)&lt;&gt;"", CHOOSECOLS(A319:V319, 1, 4, 7, 10, 13, 16, 19, 22), "", 0, -1)</f>
        <v/>
      </c>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AJ320" s="2"/>
      <c r="AN320" s="2"/>
      <c r="AO320" s="2"/>
      <c r="AP320" s="4" t="str">
        <f t="array" ref="AP320">XLOOKUP(TRUE, CHOOSECOLS(A320:V320, 1, 4, 7, 10, 13, 16, 19, 22)&lt;&gt;"", CHOOSECOLS(A320:V320, 1, 4, 7, 10, 13, 16, 19, 22), "", 0, -1)</f>
        <v/>
      </c>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AJ321" s="2"/>
      <c r="AN321" s="2"/>
      <c r="AO321" s="2"/>
      <c r="AP321" s="4" t="str">
        <f t="array" ref="AP321">XLOOKUP(TRUE, CHOOSECOLS(A321:V321, 1, 4, 7, 10, 13, 16, 19, 22)&lt;&gt;"", CHOOSECOLS(A321:V321, 1, 4, 7, 10, 13, 16, 19, 22), "", 0, -1)</f>
        <v/>
      </c>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AJ322" s="2"/>
      <c r="AN322" s="2"/>
      <c r="AO322" s="2"/>
      <c r="AP322" s="4" t="str">
        <f t="array" ref="AP322">XLOOKUP(TRUE, CHOOSECOLS(A322:V322, 1, 4, 7, 10, 13, 16, 19, 22)&lt;&gt;"", CHOOSECOLS(A322:V322, 1, 4, 7, 10, 13, 16, 19, 22), "", 0, -1)</f>
        <v/>
      </c>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AJ323" s="2"/>
      <c r="AN323" s="2"/>
      <c r="AO323" s="2"/>
      <c r="AP323" s="4" t="str">
        <f t="array" ref="AP323">XLOOKUP(TRUE, CHOOSECOLS(A323:V323, 1, 4, 7, 10, 13, 16, 19, 22)&lt;&gt;"", CHOOSECOLS(A323:V323, 1, 4, 7, 10, 13, 16, 19, 22), "", 0, -1)</f>
        <v/>
      </c>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AJ324" s="2"/>
      <c r="AN324" s="2"/>
      <c r="AO324" s="2"/>
      <c r="AP324" s="4" t="str">
        <f t="array" ref="AP324">XLOOKUP(TRUE, CHOOSECOLS(A324:V324, 1, 4, 7, 10, 13, 16, 19, 22)&lt;&gt;"", CHOOSECOLS(A324:V324, 1, 4, 7, 10, 13, 16, 19, 22), "", 0, -1)</f>
        <v/>
      </c>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AJ325" s="2"/>
      <c r="AN325" s="2"/>
      <c r="AO325" s="2"/>
      <c r="AP325" s="4" t="str">
        <f t="array" ref="AP325">XLOOKUP(TRUE, CHOOSECOLS(A325:V325, 1, 4, 7, 10, 13, 16, 19, 22)&lt;&gt;"", CHOOSECOLS(A325:V325, 1, 4, 7, 10, 13, 16, 19, 22), "", 0, -1)</f>
        <v/>
      </c>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AJ326" s="2"/>
      <c r="AN326" s="2"/>
      <c r="AO326" s="2"/>
      <c r="AP326" s="4" t="str">
        <f t="array" ref="AP326">XLOOKUP(TRUE, CHOOSECOLS(A326:V326, 1, 4, 7, 10, 13, 16, 19, 22)&lt;&gt;"", CHOOSECOLS(A326:V326, 1, 4, 7, 10, 13, 16, 19, 22), "", 0, -1)</f>
        <v/>
      </c>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AJ327" s="2"/>
      <c r="AN327" s="2"/>
      <c r="AO327" s="2"/>
      <c r="AP327" s="4" t="str">
        <f t="array" ref="AP327">XLOOKUP(TRUE, CHOOSECOLS(A327:V327, 1, 4, 7, 10, 13, 16, 19, 22)&lt;&gt;"", CHOOSECOLS(A327:V327, 1, 4, 7, 10, 13, 16, 19, 22), "", 0, -1)</f>
        <v/>
      </c>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AJ328" s="2"/>
      <c r="AN328" s="2"/>
      <c r="AO328" s="2"/>
      <c r="AP328" s="4" t="str">
        <f t="array" ref="AP328">XLOOKUP(TRUE, CHOOSECOLS(A328:V328, 1, 4, 7, 10, 13, 16, 19, 22)&lt;&gt;"", CHOOSECOLS(A328:V328, 1, 4, 7, 10, 13, 16, 19, 22), "", 0, -1)</f>
        <v/>
      </c>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AJ329" s="2"/>
      <c r="AN329" s="2"/>
      <c r="AO329" s="2"/>
      <c r="AP329" s="4" t="str">
        <f t="array" ref="AP329">XLOOKUP(TRUE, CHOOSECOLS(A329:V329, 1, 4, 7, 10, 13, 16, 19, 22)&lt;&gt;"", CHOOSECOLS(A329:V329, 1, 4, 7, 10, 13, 16, 19, 22), "", 0, -1)</f>
        <v/>
      </c>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AJ330" s="2"/>
      <c r="AN330" s="2"/>
      <c r="AO330" s="2"/>
      <c r="AP330" s="4" t="str">
        <f t="array" ref="AP330">XLOOKUP(TRUE, CHOOSECOLS(A330:V330, 1, 4, 7, 10, 13, 16, 19, 22)&lt;&gt;"", CHOOSECOLS(A330:V330, 1, 4, 7, 10, 13, 16, 19, 22), "", 0, -1)</f>
        <v/>
      </c>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AJ331" s="2"/>
      <c r="AN331" s="2"/>
      <c r="AO331" s="2"/>
      <c r="AP331" s="4" t="str">
        <f t="array" ref="AP331">XLOOKUP(TRUE, CHOOSECOLS(A331:V331, 1, 4, 7, 10, 13, 16, 19, 22)&lt;&gt;"", CHOOSECOLS(A331:V331, 1, 4, 7, 10, 13, 16, 19, 22), "", 0, -1)</f>
        <v/>
      </c>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AJ332" s="2"/>
      <c r="AN332" s="2"/>
      <c r="AO332" s="2"/>
      <c r="AP332" s="4" t="str">
        <f t="array" ref="AP332">XLOOKUP(TRUE, CHOOSECOLS(A332:V332, 1, 4, 7, 10, 13, 16, 19, 22)&lt;&gt;"", CHOOSECOLS(A332:V332, 1, 4, 7, 10, 13, 16, 19, 22), "", 0, -1)</f>
        <v/>
      </c>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AJ333" s="2"/>
      <c r="AN333" s="2"/>
      <c r="AO333" s="2"/>
      <c r="AP333" s="4" t="str">
        <f t="array" ref="AP333">XLOOKUP(TRUE, CHOOSECOLS(A333:V333, 1, 4, 7, 10, 13, 16, 19, 22)&lt;&gt;"", CHOOSECOLS(A333:V333, 1, 4, 7, 10, 13, 16, 19, 22), "", 0, -1)</f>
        <v/>
      </c>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AJ334" s="2"/>
      <c r="AN334" s="2"/>
      <c r="AO334" s="2"/>
      <c r="AP334" s="4" t="str">
        <f t="array" ref="AP334">XLOOKUP(TRUE, CHOOSECOLS(A334:V334, 1, 4, 7, 10, 13, 16, 19, 22)&lt;&gt;"", CHOOSECOLS(A334:V334, 1, 4, 7, 10, 13, 16, 19, 22), "", 0, -1)</f>
        <v/>
      </c>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AJ335" s="2"/>
      <c r="AN335" s="2"/>
      <c r="AO335" s="2"/>
      <c r="AP335" s="4" t="str">
        <f t="array" ref="AP335">XLOOKUP(TRUE, CHOOSECOLS(A335:V335, 1, 4, 7, 10, 13, 16, 19, 22)&lt;&gt;"", CHOOSECOLS(A335:V335, 1, 4, 7, 10, 13, 16, 19, 22), "", 0, -1)</f>
        <v/>
      </c>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AJ336" s="2"/>
      <c r="AN336" s="2"/>
      <c r="AO336" s="2"/>
      <c r="AP336" s="4" t="str">
        <f t="array" ref="AP336">XLOOKUP(TRUE, CHOOSECOLS(A336:V336, 1, 4, 7, 10, 13, 16, 19, 22)&lt;&gt;"", CHOOSECOLS(A336:V336, 1, 4, 7, 10, 13, 16, 19, 22), "", 0, -1)</f>
        <v/>
      </c>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AJ337" s="2"/>
      <c r="AN337" s="2"/>
      <c r="AO337" s="2"/>
      <c r="AP337" s="4" t="str">
        <f t="array" ref="AP337">XLOOKUP(TRUE, CHOOSECOLS(A337:V337, 1, 4, 7, 10, 13, 16, 19, 22)&lt;&gt;"", CHOOSECOLS(A337:V337, 1, 4, 7, 10, 13, 16, 19, 22), "", 0, -1)</f>
        <v/>
      </c>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AJ338" s="2"/>
      <c r="AN338" s="2"/>
      <c r="AO338" s="2"/>
      <c r="AP338" s="4" t="str">
        <f t="array" ref="AP338">XLOOKUP(TRUE, CHOOSECOLS(A338:V338, 1, 4, 7, 10, 13, 16, 19, 22)&lt;&gt;"", CHOOSECOLS(A338:V338, 1, 4, 7, 10, 13, 16, 19, 22), "", 0, -1)</f>
        <v/>
      </c>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AJ339" s="2"/>
      <c r="AN339" s="2"/>
      <c r="AO339" s="2"/>
      <c r="AP339" s="4" t="str">
        <f t="array" ref="AP339">XLOOKUP(TRUE, CHOOSECOLS(A339:V339, 1, 4, 7, 10, 13, 16, 19, 22)&lt;&gt;"", CHOOSECOLS(A339:V339, 1, 4, 7, 10, 13, 16, 19, 22), "", 0, -1)</f>
        <v/>
      </c>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AJ340" s="2"/>
      <c r="AN340" s="2"/>
      <c r="AO340" s="2"/>
      <c r="AP340" s="4" t="str">
        <f t="array" ref="AP340">XLOOKUP(TRUE, CHOOSECOLS(A340:V340, 1, 4, 7, 10, 13, 16, 19, 22)&lt;&gt;"", CHOOSECOLS(A340:V340, 1, 4, 7, 10, 13, 16, 19, 22), "", 0, -1)</f>
        <v/>
      </c>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AJ341" s="2"/>
      <c r="AN341" s="2"/>
      <c r="AO341" s="2"/>
      <c r="AP341" s="4" t="str">
        <f t="array" ref="AP341">XLOOKUP(TRUE, CHOOSECOLS(A341:V341, 1, 4, 7, 10, 13, 16, 19, 22)&lt;&gt;"", CHOOSECOLS(A341:V341, 1, 4, 7, 10, 13, 16, 19, 22), "", 0, -1)</f>
        <v/>
      </c>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AJ342" s="2"/>
      <c r="AN342" s="2"/>
      <c r="AO342" s="2"/>
      <c r="AP342" s="4" t="str">
        <f t="array" ref="AP342">XLOOKUP(TRUE, CHOOSECOLS(A342:V342, 1, 4, 7, 10, 13, 16, 19, 22)&lt;&gt;"", CHOOSECOLS(A342:V342, 1, 4, 7, 10, 13, 16, 19, 22), "", 0, -1)</f>
        <v/>
      </c>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AJ343" s="2"/>
      <c r="AN343" s="2"/>
      <c r="AO343" s="2"/>
      <c r="AP343" s="4" t="str">
        <f t="array" ref="AP343">XLOOKUP(TRUE, CHOOSECOLS(A343:V343, 1, 4, 7, 10, 13, 16, 19, 22)&lt;&gt;"", CHOOSECOLS(A343:V343, 1, 4, 7, 10, 13, 16, 19, 22), "", 0, -1)</f>
        <v/>
      </c>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AJ344" s="2"/>
      <c r="AN344" s="2"/>
      <c r="AO344" s="2"/>
      <c r="AP344" s="4" t="str">
        <f t="array" ref="AP344">XLOOKUP(TRUE, CHOOSECOLS(A344:V344, 1, 4, 7, 10, 13, 16, 19, 22)&lt;&gt;"", CHOOSECOLS(A344:V344, 1, 4, 7, 10, 13, 16, 19, 22), "", 0, -1)</f>
        <v/>
      </c>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AJ345" s="2"/>
      <c r="AN345" s="2"/>
      <c r="AO345" s="2"/>
      <c r="AP345" s="4" t="str">
        <f t="array" ref="AP345">XLOOKUP(TRUE, CHOOSECOLS(A345:V345, 1, 4, 7, 10, 13, 16, 19, 22)&lt;&gt;"", CHOOSECOLS(A345:V345, 1, 4, 7, 10, 13, 16, 19, 22), "", 0, -1)</f>
        <v/>
      </c>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AJ346" s="2"/>
      <c r="AN346" s="2"/>
      <c r="AO346" s="2"/>
      <c r="AP346" s="4" t="str">
        <f t="array" ref="AP346">XLOOKUP(TRUE, CHOOSECOLS(A346:V346, 1, 4, 7, 10, 13, 16, 19, 22)&lt;&gt;"", CHOOSECOLS(A346:V346, 1, 4, 7, 10, 13, 16, 19, 22), "", 0, -1)</f>
        <v/>
      </c>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AJ347" s="2"/>
      <c r="AN347" s="2"/>
      <c r="AO347" s="2"/>
      <c r="AP347" s="4" t="str">
        <f t="array" ref="AP347">XLOOKUP(TRUE, CHOOSECOLS(A347:V347, 1, 4, 7, 10, 13, 16, 19, 22)&lt;&gt;"", CHOOSECOLS(A347:V347, 1, 4, 7, 10, 13, 16, 19, 22), "", 0, -1)</f>
        <v/>
      </c>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AJ348" s="2"/>
      <c r="AN348" s="2"/>
      <c r="AO348" s="2"/>
      <c r="AP348" s="4" t="str">
        <f t="array" ref="AP348">XLOOKUP(TRUE, CHOOSECOLS(A348:V348, 1, 4, 7, 10, 13, 16, 19, 22)&lt;&gt;"", CHOOSECOLS(A348:V348, 1, 4, 7, 10, 13, 16, 19, 22), "", 0, -1)</f>
        <v/>
      </c>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AJ349" s="2"/>
      <c r="AN349" s="2"/>
      <c r="AO349" s="2"/>
      <c r="AP349" s="4" t="str">
        <f t="array" ref="AP349">XLOOKUP(TRUE, CHOOSECOLS(A349:V349, 1, 4, 7, 10, 13, 16, 19, 22)&lt;&gt;"", CHOOSECOLS(A349:V349, 1, 4, 7, 10, 13, 16, 19, 22), "", 0, -1)</f>
        <v/>
      </c>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AJ350" s="2"/>
      <c r="AN350" s="2"/>
      <c r="AO350" s="2"/>
      <c r="AP350" s="4" t="str">
        <f t="array" ref="AP350">XLOOKUP(TRUE, CHOOSECOLS(A350:V350, 1, 4, 7, 10, 13, 16, 19, 22)&lt;&gt;"", CHOOSECOLS(A350:V350, 1, 4, 7, 10, 13, 16, 19, 22), "", 0, -1)</f>
        <v/>
      </c>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AJ351" s="2"/>
      <c r="AN351" s="2"/>
      <c r="AO351" s="2"/>
      <c r="AP351" s="4" t="str">
        <f t="array" ref="AP351">XLOOKUP(TRUE, CHOOSECOLS(A351:V351, 1, 4, 7, 10, 13, 16, 19, 22)&lt;&gt;"", CHOOSECOLS(A351:V351, 1, 4, 7, 10, 13, 16, 19, 22), "", 0, -1)</f>
        <v/>
      </c>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AJ352" s="2"/>
      <c r="AN352" s="2"/>
      <c r="AO352" s="2"/>
      <c r="AP352" s="4" t="str">
        <f t="array" ref="AP352">XLOOKUP(TRUE, CHOOSECOLS(A352:V352, 1, 4, 7, 10, 13, 16, 19, 22)&lt;&gt;"", CHOOSECOLS(A352:V352, 1, 4, 7, 10, 13, 16, 19, 22), "", 0, -1)</f>
        <v/>
      </c>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AJ353" s="2"/>
      <c r="AN353" s="2"/>
      <c r="AO353" s="2"/>
      <c r="AP353" s="4" t="str">
        <f t="array" ref="AP353">XLOOKUP(TRUE, CHOOSECOLS(A353:V353, 1, 4, 7, 10, 13, 16, 19, 22)&lt;&gt;"", CHOOSECOLS(A353:V353, 1, 4, 7, 10, 13, 16, 19, 22), "", 0, -1)</f>
        <v/>
      </c>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AJ354" s="2"/>
      <c r="AN354" s="2"/>
      <c r="AO354" s="2"/>
      <c r="AP354" s="4" t="str">
        <f t="array" ref="AP354">XLOOKUP(TRUE, CHOOSECOLS(A354:V354, 1, 4, 7, 10, 13, 16, 19, 22)&lt;&gt;"", CHOOSECOLS(A354:V354, 1, 4, 7, 10, 13, 16, 19, 22), "", 0, -1)</f>
        <v/>
      </c>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AJ355" s="2"/>
      <c r="AN355" s="2"/>
      <c r="AO355" s="2"/>
      <c r="AP355" s="4" t="str">
        <f t="array" ref="AP355">XLOOKUP(TRUE, CHOOSECOLS(A355:V355, 1, 4, 7, 10, 13, 16, 19, 22)&lt;&gt;"", CHOOSECOLS(A355:V355, 1, 4, 7, 10, 13, 16, 19, 22), "", 0, -1)</f>
        <v/>
      </c>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AJ356" s="2"/>
      <c r="AN356" s="2"/>
      <c r="AO356" s="2"/>
      <c r="AP356" s="4" t="str">
        <f t="array" ref="AP356">XLOOKUP(TRUE, CHOOSECOLS(A356:V356, 1, 4, 7, 10, 13, 16, 19, 22)&lt;&gt;"", CHOOSECOLS(A356:V356, 1, 4, 7, 10, 13, 16, 19, 22), "", 0, -1)</f>
        <v/>
      </c>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AJ357" s="2"/>
      <c r="AN357" s="2"/>
      <c r="AO357" s="2"/>
      <c r="AP357" s="4" t="str">
        <f t="array" ref="AP357">XLOOKUP(TRUE, CHOOSECOLS(A357:V357, 1, 4, 7, 10, 13, 16, 19, 22)&lt;&gt;"", CHOOSECOLS(A357:V357, 1, 4, 7, 10, 13, 16, 19, 22), "", 0, -1)</f>
        <v/>
      </c>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AJ358" s="2"/>
      <c r="AN358" s="2"/>
      <c r="AO358" s="2"/>
      <c r="AP358" s="4" t="str">
        <f t="array" ref="AP358">XLOOKUP(TRUE, CHOOSECOLS(A358:V358, 1, 4, 7, 10, 13, 16, 19, 22)&lt;&gt;"", CHOOSECOLS(A358:V358, 1, 4, 7, 10, 13, 16, 19, 22), "", 0, -1)</f>
        <v/>
      </c>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AJ359" s="2"/>
      <c r="AN359" s="2"/>
      <c r="AO359" s="2"/>
      <c r="AP359" s="4" t="str">
        <f t="array" ref="AP359">XLOOKUP(TRUE, CHOOSECOLS(A359:V359, 1, 4, 7, 10, 13, 16, 19, 22)&lt;&gt;"", CHOOSECOLS(A359:V359, 1, 4, 7, 10, 13, 16, 19, 22), "", 0, -1)</f>
        <v/>
      </c>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AJ360" s="2"/>
      <c r="AN360" s="2"/>
      <c r="AO360" s="2"/>
      <c r="AP360" s="4" t="str">
        <f t="array" ref="AP360">XLOOKUP(TRUE, CHOOSECOLS(A360:V360, 1, 4, 7, 10, 13, 16, 19, 22)&lt;&gt;"", CHOOSECOLS(A360:V360, 1, 4, 7, 10, 13, 16, 19, 22), "", 0, -1)</f>
        <v/>
      </c>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AJ361" s="2"/>
      <c r="AN361" s="2"/>
      <c r="AO361" s="2"/>
      <c r="AP361" s="4" t="str">
        <f t="array" ref="AP361">XLOOKUP(TRUE, CHOOSECOLS(A361:V361, 1, 4, 7, 10, 13, 16, 19, 22)&lt;&gt;"", CHOOSECOLS(A361:V361, 1, 4, 7, 10, 13, 16, 19, 22), "", 0, -1)</f>
        <v/>
      </c>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AJ362" s="2"/>
      <c r="AN362" s="2"/>
      <c r="AO362" s="2"/>
      <c r="AP362" s="4" t="str">
        <f t="array" ref="AP362">XLOOKUP(TRUE, CHOOSECOLS(A362:V362, 1, 4, 7, 10, 13, 16, 19, 22)&lt;&gt;"", CHOOSECOLS(A362:V362, 1, 4, 7, 10, 13, 16, 19, 22), "", 0, -1)</f>
        <v/>
      </c>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AJ363" s="2"/>
      <c r="AN363" s="2"/>
      <c r="AO363" s="2"/>
      <c r="AP363" s="4" t="str">
        <f t="array" ref="AP363">XLOOKUP(TRUE, CHOOSECOLS(A363:V363, 1, 4, 7, 10, 13, 16, 19, 22)&lt;&gt;"", CHOOSECOLS(A363:V363, 1, 4, 7, 10, 13, 16, 19, 22), "", 0, -1)</f>
        <v/>
      </c>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AJ364" s="2"/>
      <c r="AN364" s="2"/>
      <c r="AO364" s="2"/>
      <c r="AP364" s="4" t="str">
        <f t="array" ref="AP364">XLOOKUP(TRUE, CHOOSECOLS(A364:V364, 1, 4, 7, 10, 13, 16, 19, 22)&lt;&gt;"", CHOOSECOLS(A364:V364, 1, 4, 7, 10, 13, 16, 19, 22), "", 0, -1)</f>
        <v/>
      </c>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AJ365" s="2"/>
      <c r="AN365" s="2"/>
      <c r="AO365" s="2"/>
      <c r="AP365" s="4" t="str">
        <f t="array" ref="AP365">XLOOKUP(TRUE, CHOOSECOLS(A365:V365, 1, 4, 7, 10, 13, 16, 19, 22)&lt;&gt;"", CHOOSECOLS(A365:V365, 1, 4, 7, 10, 13, 16, 19, 22), "", 0, -1)</f>
        <v/>
      </c>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AJ366" s="2"/>
      <c r="AN366" s="2"/>
      <c r="AO366" s="2"/>
      <c r="AP366" s="4" t="str">
        <f t="array" ref="AP366">XLOOKUP(TRUE, CHOOSECOLS(A366:V366, 1, 4, 7, 10, 13, 16, 19, 22)&lt;&gt;"", CHOOSECOLS(A366:V366, 1, 4, 7, 10, 13, 16, 19, 22), "", 0, -1)</f>
        <v/>
      </c>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AJ367" s="2"/>
      <c r="AN367" s="2"/>
      <c r="AO367" s="2"/>
      <c r="AP367" s="4" t="str">
        <f t="array" ref="AP367">XLOOKUP(TRUE, CHOOSECOLS(A367:V367, 1, 4, 7, 10, 13, 16, 19, 22)&lt;&gt;"", CHOOSECOLS(A367:V367, 1, 4, 7, 10, 13, 16, 19, 22), "", 0, -1)</f>
        <v/>
      </c>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AJ368" s="2"/>
      <c r="AN368" s="2"/>
      <c r="AO368" s="2"/>
      <c r="AP368" s="4" t="str">
        <f t="array" ref="AP368">XLOOKUP(TRUE, CHOOSECOLS(A368:V368, 1, 4, 7, 10, 13, 16, 19, 22)&lt;&gt;"", CHOOSECOLS(A368:V368, 1, 4, 7, 10, 13, 16, 19, 22), "", 0, -1)</f>
        <v/>
      </c>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AJ369" s="2"/>
      <c r="AN369" s="2"/>
      <c r="AO369" s="2"/>
      <c r="AP369" s="4" t="str">
        <f t="array" ref="AP369">XLOOKUP(TRUE, CHOOSECOLS(A369:V369, 1, 4, 7, 10, 13, 16, 19, 22)&lt;&gt;"", CHOOSECOLS(A369:V369, 1, 4, 7, 10, 13, 16, 19, 22), "", 0, -1)</f>
        <v/>
      </c>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AJ370" s="2"/>
      <c r="AN370" s="2"/>
      <c r="AO370" s="2"/>
      <c r="AP370" s="4" t="str">
        <f t="array" ref="AP370">XLOOKUP(TRUE, CHOOSECOLS(A370:V370, 1, 4, 7, 10, 13, 16, 19, 22)&lt;&gt;"", CHOOSECOLS(A370:V370, 1, 4, 7, 10, 13, 16, 19, 22), "", 0, -1)</f>
        <v/>
      </c>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AJ371" s="2"/>
      <c r="AN371" s="2"/>
      <c r="AO371" s="2"/>
      <c r="AP371" s="4" t="str">
        <f t="array" ref="AP371">XLOOKUP(TRUE, CHOOSECOLS(A371:V371, 1, 4, 7, 10, 13, 16, 19, 22)&lt;&gt;"", CHOOSECOLS(A371:V371, 1, 4, 7, 10, 13, 16, 19, 22), "", 0, -1)</f>
        <v/>
      </c>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AJ372" s="2"/>
      <c r="AN372" s="2"/>
      <c r="AO372" s="2"/>
      <c r="AP372" s="4" t="str">
        <f t="array" ref="AP372">XLOOKUP(TRUE, CHOOSECOLS(A372:V372, 1, 4, 7, 10, 13, 16, 19, 22)&lt;&gt;"", CHOOSECOLS(A372:V372, 1, 4, 7, 10, 13, 16, 19, 22), "", 0, -1)</f>
        <v/>
      </c>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AJ373" s="2"/>
      <c r="AN373" s="2"/>
      <c r="AO373" s="2"/>
      <c r="AP373" s="4" t="str">
        <f t="array" ref="AP373">XLOOKUP(TRUE, CHOOSECOLS(A373:V373, 1, 4, 7, 10, 13, 16, 19, 22)&lt;&gt;"", CHOOSECOLS(A373:V373, 1, 4, 7, 10, 13, 16, 19, 22), "", 0, -1)</f>
        <v/>
      </c>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AJ374" s="2"/>
      <c r="AN374" s="2"/>
      <c r="AO374" s="2"/>
      <c r="AP374" s="4" t="str">
        <f t="array" ref="AP374">XLOOKUP(TRUE, CHOOSECOLS(A374:V374, 1, 4, 7, 10, 13, 16, 19, 22)&lt;&gt;"", CHOOSECOLS(A374:V374, 1, 4, 7, 10, 13, 16, 19, 22), "", 0, -1)</f>
        <v/>
      </c>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AJ375" s="2"/>
      <c r="AN375" s="2"/>
      <c r="AO375" s="2"/>
      <c r="AP375" s="4" t="str">
        <f t="array" ref="AP375">XLOOKUP(TRUE, CHOOSECOLS(A375:V375, 1, 4, 7, 10, 13, 16, 19, 22)&lt;&gt;"", CHOOSECOLS(A375:V375, 1, 4, 7, 10, 13, 16, 19, 22), "", 0, -1)</f>
        <v/>
      </c>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AJ376" s="2"/>
      <c r="AN376" s="2"/>
      <c r="AO376" s="2"/>
      <c r="AP376" s="4" t="str">
        <f t="array" ref="AP376">XLOOKUP(TRUE, CHOOSECOLS(A376:V376, 1, 4, 7, 10, 13, 16, 19, 22)&lt;&gt;"", CHOOSECOLS(A376:V376, 1, 4, 7, 10, 13, 16, 19, 22), "", 0, -1)</f>
        <v/>
      </c>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AJ377" s="2"/>
      <c r="AN377" s="2"/>
      <c r="AO377" s="2"/>
      <c r="AP377" s="4" t="str">
        <f t="array" ref="AP377">XLOOKUP(TRUE, CHOOSECOLS(A377:V377, 1, 4, 7, 10, 13, 16, 19, 22)&lt;&gt;"", CHOOSECOLS(A377:V377, 1, 4, 7, 10, 13, 16, 19, 22), "", 0, -1)</f>
        <v/>
      </c>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AJ378" s="2"/>
      <c r="AN378" s="2"/>
      <c r="AO378" s="2"/>
      <c r="AP378" s="4" t="str">
        <f t="array" ref="AP378">XLOOKUP(TRUE, CHOOSECOLS(A378:V378, 1, 4, 7, 10, 13, 16, 19, 22)&lt;&gt;"", CHOOSECOLS(A378:V378, 1, 4, 7, 10, 13, 16, 19, 22), "", 0, -1)</f>
        <v/>
      </c>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AJ379" s="2"/>
      <c r="AN379" s="2"/>
      <c r="AO379" s="2"/>
      <c r="AP379" s="4" t="str">
        <f t="array" ref="AP379">XLOOKUP(TRUE, CHOOSECOLS(A379:V379, 1, 4, 7, 10, 13, 16, 19, 22)&lt;&gt;"", CHOOSECOLS(A379:V379, 1, 4, 7, 10, 13, 16, 19, 22), "", 0, -1)</f>
        <v/>
      </c>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AJ380" s="2"/>
      <c r="AN380" s="2"/>
      <c r="AO380" s="2"/>
      <c r="AP380" s="4" t="str">
        <f t="array" ref="AP380">XLOOKUP(TRUE, CHOOSECOLS(A380:V380, 1, 4, 7, 10, 13, 16, 19, 22)&lt;&gt;"", CHOOSECOLS(A380:V380, 1, 4, 7, 10, 13, 16, 19, 22), "", 0, -1)</f>
        <v/>
      </c>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AJ381" s="2"/>
      <c r="AN381" s="2"/>
      <c r="AO381" s="2"/>
      <c r="AP381" s="4" t="str">
        <f t="array" ref="AP381">XLOOKUP(TRUE, CHOOSECOLS(A381:V381, 1, 4, 7, 10, 13, 16, 19, 22)&lt;&gt;"", CHOOSECOLS(A381:V381, 1, 4, 7, 10, 13, 16, 19, 22), "", 0, -1)</f>
        <v/>
      </c>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AJ382" s="2"/>
      <c r="AN382" s="2"/>
      <c r="AO382" s="2"/>
      <c r="AP382" s="4" t="str">
        <f t="array" ref="AP382">XLOOKUP(TRUE, CHOOSECOLS(A382:V382, 1, 4, 7, 10, 13, 16, 19, 22)&lt;&gt;"", CHOOSECOLS(A382:V382, 1, 4, 7, 10, 13, 16, 19, 22), "", 0, -1)</f>
        <v/>
      </c>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AJ383" s="2"/>
      <c r="AN383" s="2"/>
      <c r="AO383" s="2"/>
      <c r="AP383" s="4" t="str">
        <f t="array" ref="AP383">XLOOKUP(TRUE, CHOOSECOLS(A383:V383, 1, 4, 7, 10, 13, 16, 19, 22)&lt;&gt;"", CHOOSECOLS(A383:V383, 1, 4, 7, 10, 13, 16, 19, 22), "", 0, -1)</f>
        <v/>
      </c>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AJ384" s="2"/>
      <c r="AN384" s="2"/>
      <c r="AO384" s="2"/>
      <c r="AP384" s="4" t="str">
        <f t="array" ref="AP384">XLOOKUP(TRUE, CHOOSECOLS(A384:V384, 1, 4, 7, 10, 13, 16, 19, 22)&lt;&gt;"", CHOOSECOLS(A384:V384, 1, 4, 7, 10, 13, 16, 19, 22), "", 0, -1)</f>
        <v/>
      </c>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AJ385" s="2"/>
      <c r="AN385" s="2"/>
      <c r="AO385" s="2"/>
      <c r="AP385" s="4" t="str">
        <f t="array" ref="AP385">XLOOKUP(TRUE, CHOOSECOLS(A385:V385, 1, 4, 7, 10, 13, 16, 19, 22)&lt;&gt;"", CHOOSECOLS(A385:V385, 1, 4, 7, 10, 13, 16, 19, 22), "", 0, -1)</f>
        <v/>
      </c>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AJ386" s="2"/>
      <c r="AN386" s="2"/>
      <c r="AO386" s="2"/>
      <c r="AP386" s="4" t="str">
        <f t="array" ref="AP386">XLOOKUP(TRUE, CHOOSECOLS(A386:V386, 1, 4, 7, 10, 13, 16, 19, 22)&lt;&gt;"", CHOOSECOLS(A386:V386, 1, 4, 7, 10, 13, 16, 19, 22), "", 0, -1)</f>
        <v/>
      </c>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AJ387" s="2"/>
      <c r="AN387" s="2"/>
      <c r="AO387" s="2"/>
      <c r="AP387" s="4" t="str">
        <f t="array" ref="AP387">XLOOKUP(TRUE, CHOOSECOLS(A387:V387, 1, 4, 7, 10, 13, 16, 19, 22)&lt;&gt;"", CHOOSECOLS(A387:V387, 1, 4, 7, 10, 13, 16, 19, 22), "", 0, -1)</f>
        <v/>
      </c>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AJ388" s="2"/>
      <c r="AN388" s="2"/>
      <c r="AO388" s="2"/>
      <c r="AP388" s="4" t="str">
        <f t="array" ref="AP388">XLOOKUP(TRUE, CHOOSECOLS(A388:V388, 1, 4, 7, 10, 13, 16, 19, 22)&lt;&gt;"", CHOOSECOLS(A388:V388, 1, 4, 7, 10, 13, 16, 19, 22), "", 0, -1)</f>
        <v/>
      </c>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AJ389" s="2"/>
      <c r="AN389" s="2"/>
      <c r="AO389" s="2"/>
      <c r="AP389" s="4" t="str">
        <f t="array" ref="AP389">XLOOKUP(TRUE, CHOOSECOLS(A389:V389, 1, 4, 7, 10, 13, 16, 19, 22)&lt;&gt;"", CHOOSECOLS(A389:V389, 1, 4, 7, 10, 13, 16, 19, 22), "", 0, -1)</f>
        <v/>
      </c>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AJ390" s="2"/>
      <c r="AN390" s="2"/>
      <c r="AO390" s="2"/>
      <c r="AP390" s="4" t="str">
        <f t="array" ref="AP390">XLOOKUP(TRUE, CHOOSECOLS(A390:V390, 1, 4, 7, 10, 13, 16, 19, 22)&lt;&gt;"", CHOOSECOLS(A390:V390, 1, 4, 7, 10, 13, 16, 19, 22), "", 0, -1)</f>
        <v/>
      </c>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AJ391" s="2"/>
      <c r="AN391" s="2"/>
      <c r="AO391" s="2"/>
      <c r="AP391" s="4" t="str">
        <f t="array" ref="AP391">XLOOKUP(TRUE, CHOOSECOLS(A391:V391, 1, 4, 7, 10, 13, 16, 19, 22)&lt;&gt;"", CHOOSECOLS(A391:V391, 1, 4, 7, 10, 13, 16, 19, 22), "", 0, -1)</f>
        <v/>
      </c>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AJ392" s="2"/>
      <c r="AN392" s="2"/>
      <c r="AO392" s="2"/>
      <c r="AP392" s="4" t="str">
        <f t="array" ref="AP392">XLOOKUP(TRUE, CHOOSECOLS(A392:V392, 1, 4, 7, 10, 13, 16, 19, 22)&lt;&gt;"", CHOOSECOLS(A392:V392, 1, 4, 7, 10, 13, 16, 19, 22), "", 0, -1)</f>
        <v/>
      </c>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AJ393" s="2"/>
      <c r="AN393" s="2"/>
      <c r="AO393" s="2"/>
      <c r="AP393" s="4" t="str">
        <f t="array" ref="AP393">XLOOKUP(TRUE, CHOOSECOLS(A393:V393, 1, 4, 7, 10, 13, 16, 19, 22)&lt;&gt;"", CHOOSECOLS(A393:V393, 1, 4, 7, 10, 13, 16, 19, 22), "", 0, -1)</f>
        <v/>
      </c>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AJ394" s="2"/>
      <c r="AN394" s="2"/>
      <c r="AO394" s="2"/>
      <c r="AP394" s="4" t="str">
        <f t="array" ref="AP394">XLOOKUP(TRUE, CHOOSECOLS(A394:V394, 1, 4, 7, 10, 13, 16, 19, 22)&lt;&gt;"", CHOOSECOLS(A394:V394, 1, 4, 7, 10, 13, 16, 19, 22), "", 0, -1)</f>
        <v/>
      </c>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AJ395" s="2"/>
      <c r="AN395" s="2"/>
      <c r="AO395" s="2"/>
      <c r="AP395" s="4" t="str">
        <f t="array" ref="AP395">XLOOKUP(TRUE, CHOOSECOLS(A395:V395, 1, 4, 7, 10, 13, 16, 19, 22)&lt;&gt;"", CHOOSECOLS(A395:V395, 1, 4, 7, 10, 13, 16, 19, 22), "", 0, -1)</f>
        <v/>
      </c>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AJ396" s="2"/>
      <c r="AN396" s="2"/>
      <c r="AO396" s="2"/>
      <c r="AP396" s="4" t="str">
        <f t="array" ref="AP396">XLOOKUP(TRUE, CHOOSECOLS(A396:V396, 1, 4, 7, 10, 13, 16, 19, 22)&lt;&gt;"", CHOOSECOLS(A396:V396, 1, 4, 7, 10, 13, 16, 19, 22), "", 0, -1)</f>
        <v/>
      </c>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AJ397" s="2"/>
      <c r="AN397" s="2"/>
      <c r="AO397" s="2"/>
      <c r="AP397" s="4" t="str">
        <f t="array" ref="AP397">XLOOKUP(TRUE, CHOOSECOLS(A397:V397, 1, 4, 7, 10, 13, 16, 19, 22)&lt;&gt;"", CHOOSECOLS(A397:V397, 1, 4, 7, 10, 13, 16, 19, 22), "", 0, -1)</f>
        <v/>
      </c>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AJ398" s="2"/>
      <c r="AN398" s="2"/>
      <c r="AO398" s="2"/>
      <c r="AP398" s="4" t="str">
        <f t="array" ref="AP398">XLOOKUP(TRUE, CHOOSECOLS(A398:V398, 1, 4, 7, 10, 13, 16, 19, 22)&lt;&gt;"", CHOOSECOLS(A398:V398, 1, 4, 7, 10, 13, 16, 19, 22), "", 0, -1)</f>
        <v/>
      </c>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AJ399" s="2"/>
      <c r="AN399" s="2"/>
      <c r="AO399" s="2"/>
      <c r="AP399" s="4" t="str">
        <f t="array" ref="AP399">XLOOKUP(TRUE, CHOOSECOLS(A399:V399, 1, 4, 7, 10, 13, 16, 19, 22)&lt;&gt;"", CHOOSECOLS(A399:V399, 1, 4, 7, 10, 13, 16, 19, 22), "", 0, -1)</f>
        <v/>
      </c>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AJ400" s="2"/>
      <c r="AN400" s="2"/>
      <c r="AO400" s="2"/>
      <c r="AP400" s="4" t="str">
        <f t="array" ref="AP400">XLOOKUP(TRUE, CHOOSECOLS(A400:V400, 1, 4, 7, 10, 13, 16, 19, 22)&lt;&gt;"", CHOOSECOLS(A400:V400, 1, 4, 7, 10, 13, 16, 19, 22), "", 0, -1)</f>
        <v/>
      </c>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AJ401" s="2"/>
      <c r="AN401" s="2"/>
      <c r="AO401" s="2"/>
      <c r="AP401" s="4" t="str">
        <f t="array" ref="AP401">XLOOKUP(TRUE, CHOOSECOLS(A401:V401, 1, 4, 7, 10, 13, 16, 19, 22)&lt;&gt;"", CHOOSECOLS(A401:V401, 1, 4, 7, 10, 13, 16, 19, 22), "", 0, -1)</f>
        <v/>
      </c>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AJ402" s="2"/>
      <c r="AN402" s="2"/>
      <c r="AO402" s="2"/>
      <c r="AP402" s="4" t="str">
        <f t="array" ref="AP402">XLOOKUP(TRUE, CHOOSECOLS(A402:V402, 1, 4, 7, 10, 13, 16, 19, 22)&lt;&gt;"", CHOOSECOLS(A402:V402, 1, 4, 7, 10, 13, 16, 19, 22), "", 0, -1)</f>
        <v/>
      </c>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AJ403" s="2"/>
      <c r="AN403" s="2"/>
      <c r="AO403" s="2"/>
      <c r="AP403" s="4" t="str">
        <f t="array" ref="AP403">XLOOKUP(TRUE, CHOOSECOLS(A403:V403, 1, 4, 7, 10, 13, 16, 19, 22)&lt;&gt;"", CHOOSECOLS(A403:V403, 1, 4, 7, 10, 13, 16, 19, 22), "", 0, -1)</f>
        <v/>
      </c>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AJ404" s="2"/>
      <c r="AN404" s="2"/>
      <c r="AO404" s="2"/>
      <c r="AP404" s="4" t="str">
        <f t="array" ref="AP404">XLOOKUP(TRUE, CHOOSECOLS(A404:V404, 1, 4, 7, 10, 13, 16, 19, 22)&lt;&gt;"", CHOOSECOLS(A404:V404, 1, 4, 7, 10, 13, 16, 19, 22), "", 0, -1)</f>
        <v/>
      </c>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AJ405" s="2"/>
      <c r="AN405" s="2"/>
      <c r="AO405" s="2"/>
      <c r="AP405" s="4" t="str">
        <f t="array" ref="AP405">XLOOKUP(TRUE, CHOOSECOLS(A405:V405, 1, 4, 7, 10, 13, 16, 19, 22)&lt;&gt;"", CHOOSECOLS(A405:V405, 1, 4, 7, 10, 13, 16, 19, 22), "", 0, -1)</f>
        <v/>
      </c>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AJ406" s="2"/>
      <c r="AN406" s="2"/>
      <c r="AO406" s="2"/>
      <c r="AP406" s="4" t="str">
        <f t="array" ref="AP406">XLOOKUP(TRUE, CHOOSECOLS(A406:V406, 1, 4, 7, 10, 13, 16, 19, 22)&lt;&gt;"", CHOOSECOLS(A406:V406, 1, 4, 7, 10, 13, 16, 19, 22), "", 0, -1)</f>
        <v/>
      </c>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AJ407" s="2"/>
      <c r="AN407" s="2"/>
      <c r="AO407" s="2"/>
      <c r="AP407" s="4" t="str">
        <f t="array" ref="AP407">XLOOKUP(TRUE, CHOOSECOLS(A407:V407, 1, 4, 7, 10, 13, 16, 19, 22)&lt;&gt;"", CHOOSECOLS(A407:V407, 1, 4, 7, 10, 13, 16, 19, 22), "", 0, -1)</f>
        <v/>
      </c>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AJ408" s="2"/>
      <c r="AN408" s="2"/>
      <c r="AO408" s="2"/>
      <c r="AP408" s="4" t="str">
        <f t="array" ref="AP408">XLOOKUP(TRUE, CHOOSECOLS(A408:V408, 1, 4, 7, 10, 13, 16, 19, 22)&lt;&gt;"", CHOOSECOLS(A408:V408, 1, 4, 7, 10, 13, 16, 19, 22), "", 0, -1)</f>
        <v/>
      </c>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AJ409" s="2"/>
      <c r="AN409" s="2"/>
      <c r="AO409" s="2"/>
      <c r="AP409" s="4" t="str">
        <f t="array" ref="AP409">XLOOKUP(TRUE, CHOOSECOLS(A409:V409, 1, 4, 7, 10, 13, 16, 19, 22)&lt;&gt;"", CHOOSECOLS(A409:V409, 1, 4, 7, 10, 13, 16, 19, 22), "", 0, -1)</f>
        <v/>
      </c>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AJ410" s="2"/>
      <c r="AN410" s="2"/>
      <c r="AO410" s="2"/>
      <c r="AP410" s="4" t="str">
        <f t="array" ref="AP410">XLOOKUP(TRUE, CHOOSECOLS(A410:V410, 1, 4, 7, 10, 13, 16, 19, 22)&lt;&gt;"", CHOOSECOLS(A410:V410, 1, 4, 7, 10, 13, 16, 19, 22), "", 0, -1)</f>
        <v/>
      </c>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AJ411" s="2"/>
      <c r="AN411" s="2"/>
      <c r="AO411" s="2"/>
      <c r="AP411" s="4" t="str">
        <f t="array" ref="AP411">XLOOKUP(TRUE, CHOOSECOLS(A411:V411, 1, 4, 7, 10, 13, 16, 19, 22)&lt;&gt;"", CHOOSECOLS(A411:V411, 1, 4, 7, 10, 13, 16, 19, 22), "", 0, -1)</f>
        <v/>
      </c>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AJ412" s="2"/>
      <c r="AN412" s="2"/>
      <c r="AO412" s="2"/>
      <c r="AP412" s="4" t="str">
        <f t="array" ref="AP412">XLOOKUP(TRUE, CHOOSECOLS(A412:V412, 1, 4, 7, 10, 13, 16, 19, 22)&lt;&gt;"", CHOOSECOLS(A412:V412, 1, 4, 7, 10, 13, 16, 19, 22), "", 0, -1)</f>
        <v/>
      </c>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AJ413" s="2"/>
      <c r="AN413" s="2"/>
      <c r="AO413" s="2"/>
      <c r="AP413" s="4" t="str">
        <f t="array" ref="AP413">XLOOKUP(TRUE, CHOOSECOLS(A413:V413, 1, 4, 7, 10, 13, 16, 19, 22)&lt;&gt;"", CHOOSECOLS(A413:V413, 1, 4, 7, 10, 13, 16, 19, 22), "", 0, -1)</f>
        <v/>
      </c>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AJ414" s="2"/>
      <c r="AN414" s="2"/>
      <c r="AO414" s="2"/>
      <c r="AP414" s="4" t="str">
        <f t="array" ref="AP414">XLOOKUP(TRUE, CHOOSECOLS(A414:V414, 1, 4, 7, 10, 13, 16, 19, 22)&lt;&gt;"", CHOOSECOLS(A414:V414, 1, 4, 7, 10, 13, 16, 19, 22), "", 0, -1)</f>
        <v/>
      </c>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AJ415" s="2"/>
      <c r="AN415" s="2"/>
      <c r="AO415" s="2"/>
      <c r="AP415" s="4" t="str">
        <f t="array" ref="AP415">XLOOKUP(TRUE, CHOOSECOLS(A415:V415, 1, 4, 7, 10, 13, 16, 19, 22)&lt;&gt;"", CHOOSECOLS(A415:V415, 1, 4, 7, 10, 13, 16, 19, 22), "", 0, -1)</f>
        <v/>
      </c>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AJ416" s="2"/>
      <c r="AN416" s="2"/>
      <c r="AO416" s="2"/>
      <c r="AP416" s="4" t="str">
        <f t="array" ref="AP416">XLOOKUP(TRUE, CHOOSECOLS(A416:V416, 1, 4, 7, 10, 13, 16, 19, 22)&lt;&gt;"", CHOOSECOLS(A416:V416, 1, 4, 7, 10, 13, 16, 19, 22), "", 0, -1)</f>
        <v/>
      </c>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AJ417" s="2"/>
      <c r="AN417" s="2"/>
      <c r="AO417" s="2"/>
      <c r="AP417" s="4" t="str">
        <f t="array" ref="AP417">XLOOKUP(TRUE, CHOOSECOLS(A417:V417, 1, 4, 7, 10, 13, 16, 19, 22)&lt;&gt;"", CHOOSECOLS(A417:V417, 1, 4, 7, 10, 13, 16, 19, 22), "", 0, -1)</f>
        <v/>
      </c>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AJ418" s="2"/>
      <c r="AN418" s="2"/>
      <c r="AO418" s="2"/>
      <c r="AP418" s="4" t="str">
        <f t="array" ref="AP418">XLOOKUP(TRUE, CHOOSECOLS(A418:V418, 1, 4, 7, 10, 13, 16, 19, 22)&lt;&gt;"", CHOOSECOLS(A418:V418, 1, 4, 7, 10, 13, 16, 19, 22), "", 0, -1)</f>
        <v/>
      </c>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AJ419" s="2"/>
      <c r="AN419" s="2"/>
      <c r="AO419" s="2"/>
      <c r="AP419" s="4" t="str">
        <f t="array" ref="AP419">XLOOKUP(TRUE, CHOOSECOLS(A419:V419, 1, 4, 7, 10, 13, 16, 19, 22)&lt;&gt;"", CHOOSECOLS(A419:V419, 1, 4, 7, 10, 13, 16, 19, 22), "", 0, -1)</f>
        <v/>
      </c>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AJ420" s="2"/>
      <c r="AN420" s="2"/>
      <c r="AO420" s="2"/>
      <c r="AP420" s="4" t="str">
        <f t="array" ref="AP420">XLOOKUP(TRUE, CHOOSECOLS(A420:V420, 1, 4, 7, 10, 13, 16, 19, 22)&lt;&gt;"", CHOOSECOLS(A420:V420, 1, 4, 7, 10, 13, 16, 19, 22), "", 0, -1)</f>
        <v/>
      </c>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AJ421" s="2"/>
      <c r="AN421" s="2"/>
      <c r="AO421" s="2"/>
      <c r="AP421" s="4" t="str">
        <f t="array" ref="AP421">XLOOKUP(TRUE, CHOOSECOLS(A421:V421, 1, 4, 7, 10, 13, 16, 19, 22)&lt;&gt;"", CHOOSECOLS(A421:V421, 1, 4, 7, 10, 13, 16, 19, 22), "", 0, -1)</f>
        <v/>
      </c>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AJ422" s="2"/>
      <c r="AN422" s="2"/>
      <c r="AO422" s="2"/>
      <c r="AP422" s="4" t="str">
        <f t="array" ref="AP422">XLOOKUP(TRUE, CHOOSECOLS(A422:V422, 1, 4, 7, 10, 13, 16, 19, 22)&lt;&gt;"", CHOOSECOLS(A422:V422, 1, 4, 7, 10, 13, 16, 19, 22), "", 0, -1)</f>
        <v/>
      </c>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AJ423" s="2"/>
      <c r="AN423" s="2"/>
      <c r="AO423" s="2"/>
      <c r="AP423" s="4" t="str">
        <f t="array" ref="AP423">XLOOKUP(TRUE, CHOOSECOLS(A423:V423, 1, 4, 7, 10, 13, 16, 19, 22)&lt;&gt;"", CHOOSECOLS(A423:V423, 1, 4, 7, 10, 13, 16, 19, 22), "", 0, -1)</f>
        <v/>
      </c>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AJ424" s="2"/>
      <c r="AN424" s="2"/>
      <c r="AO424" s="2"/>
      <c r="AP424" s="4" t="str">
        <f t="array" ref="AP424">XLOOKUP(TRUE, CHOOSECOLS(A424:V424, 1, 4, 7, 10, 13, 16, 19, 22)&lt;&gt;"", CHOOSECOLS(A424:V424, 1, 4, 7, 10, 13, 16, 19, 22), "", 0, -1)</f>
        <v/>
      </c>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AJ425" s="2"/>
      <c r="AN425" s="2"/>
      <c r="AO425" s="2"/>
      <c r="AP425" s="4" t="str">
        <f t="array" ref="AP425">XLOOKUP(TRUE, CHOOSECOLS(A425:V425, 1, 4, 7, 10, 13, 16, 19, 22)&lt;&gt;"", CHOOSECOLS(A425:V425, 1, 4, 7, 10, 13, 16, 19, 22), "", 0, -1)</f>
        <v/>
      </c>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AJ426" s="2"/>
      <c r="AN426" s="2"/>
      <c r="AO426" s="2"/>
      <c r="AP426" s="4" t="str">
        <f t="array" ref="AP426">XLOOKUP(TRUE, CHOOSECOLS(A426:V426, 1, 4, 7, 10, 13, 16, 19, 22)&lt;&gt;"", CHOOSECOLS(A426:V426, 1, 4, 7, 10, 13, 16, 19, 22), "", 0, -1)</f>
        <v/>
      </c>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AJ427" s="2"/>
      <c r="AN427" s="2"/>
      <c r="AO427" s="2"/>
      <c r="AP427" s="4" t="str">
        <f t="array" ref="AP427">XLOOKUP(TRUE, CHOOSECOLS(A427:V427, 1, 4, 7, 10, 13, 16, 19, 22)&lt;&gt;"", CHOOSECOLS(A427:V427, 1, 4, 7, 10, 13, 16, 19, 22), "", 0, -1)</f>
        <v/>
      </c>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AJ428" s="2"/>
      <c r="AN428" s="2"/>
      <c r="AO428" s="2"/>
      <c r="AP428" s="4" t="str">
        <f t="array" ref="AP428">XLOOKUP(TRUE, CHOOSECOLS(A428:V428, 1, 4, 7, 10, 13, 16, 19, 22)&lt;&gt;"", CHOOSECOLS(A428:V428, 1, 4, 7, 10, 13, 16, 19, 22), "", 0, -1)</f>
        <v/>
      </c>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AJ429" s="2"/>
      <c r="AN429" s="2"/>
      <c r="AO429" s="2"/>
      <c r="AP429" s="4" t="str">
        <f t="array" ref="AP429">XLOOKUP(TRUE, CHOOSECOLS(A429:V429, 1, 4, 7, 10, 13, 16, 19, 22)&lt;&gt;"", CHOOSECOLS(A429:V429, 1, 4, 7, 10, 13, 16, 19, 22), "", 0, -1)</f>
        <v/>
      </c>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AJ430" s="2"/>
      <c r="AN430" s="2"/>
      <c r="AO430" s="2"/>
      <c r="AP430" s="4" t="str">
        <f t="array" ref="AP430">XLOOKUP(TRUE, CHOOSECOLS(A430:V430, 1, 4, 7, 10, 13, 16, 19, 22)&lt;&gt;"", CHOOSECOLS(A430:V430, 1, 4, 7, 10, 13, 16, 19, 22), "", 0, -1)</f>
        <v/>
      </c>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AJ431" s="2"/>
      <c r="AN431" s="2"/>
      <c r="AO431" s="2"/>
      <c r="AP431" s="4" t="str">
        <f t="array" ref="AP431">XLOOKUP(TRUE, CHOOSECOLS(A431:V431, 1, 4, 7, 10, 13, 16, 19, 22)&lt;&gt;"", CHOOSECOLS(A431:V431, 1, 4, 7, 10, 13, 16, 19, 22), "", 0, -1)</f>
        <v/>
      </c>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AJ432" s="2"/>
      <c r="AN432" s="2"/>
      <c r="AO432" s="2"/>
      <c r="AP432" s="4" t="str">
        <f t="array" ref="AP432">XLOOKUP(TRUE, CHOOSECOLS(A432:V432, 1, 4, 7, 10, 13, 16, 19, 22)&lt;&gt;"", CHOOSECOLS(A432:V432, 1, 4, 7, 10, 13, 16, 19, 22), "", 0, -1)</f>
        <v/>
      </c>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AJ433" s="2"/>
      <c r="AN433" s="2"/>
      <c r="AO433" s="2"/>
      <c r="AP433" s="4" t="str">
        <f t="array" ref="AP433">XLOOKUP(TRUE, CHOOSECOLS(A433:V433, 1, 4, 7, 10, 13, 16, 19, 22)&lt;&gt;"", CHOOSECOLS(A433:V433, 1, 4, 7, 10, 13, 16, 19, 22), "", 0, -1)</f>
        <v/>
      </c>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AJ434" s="2"/>
      <c r="AN434" s="2"/>
      <c r="AO434" s="2"/>
      <c r="AP434" s="4" t="str">
        <f t="array" ref="AP434">XLOOKUP(TRUE, CHOOSECOLS(A434:V434, 1, 4, 7, 10, 13, 16, 19, 22)&lt;&gt;"", CHOOSECOLS(A434:V434, 1, 4, 7, 10, 13, 16, 19, 22), "", 0, -1)</f>
        <v/>
      </c>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AJ435" s="2"/>
      <c r="AN435" s="2"/>
      <c r="AO435" s="2"/>
      <c r="AP435" s="4" t="str">
        <f t="array" ref="AP435">XLOOKUP(TRUE, CHOOSECOLS(A435:V435, 1, 4, 7, 10, 13, 16, 19, 22)&lt;&gt;"", CHOOSECOLS(A435:V435, 1, 4, 7, 10, 13, 16, 19, 22), "", 0, -1)</f>
        <v/>
      </c>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AJ436" s="2"/>
      <c r="AN436" s="2"/>
      <c r="AO436" s="2"/>
      <c r="AP436" s="4" t="str">
        <f t="array" ref="AP436">XLOOKUP(TRUE, CHOOSECOLS(A436:V436, 1, 4, 7, 10, 13, 16, 19, 22)&lt;&gt;"", CHOOSECOLS(A436:V436, 1, 4, 7, 10, 13, 16, 19, 22), "", 0, -1)</f>
        <v/>
      </c>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AJ437" s="2"/>
      <c r="AN437" s="2"/>
      <c r="AO437" s="2"/>
      <c r="AP437" s="4" t="str">
        <f t="array" ref="AP437">XLOOKUP(TRUE, CHOOSECOLS(A437:V437, 1, 4, 7, 10, 13, 16, 19, 22)&lt;&gt;"", CHOOSECOLS(A437:V437, 1, 4, 7, 10, 13, 16, 19, 22), "", 0, -1)</f>
        <v/>
      </c>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AJ438" s="2"/>
      <c r="AN438" s="2"/>
      <c r="AO438" s="2"/>
      <c r="AP438" s="4" t="str">
        <f t="array" ref="AP438">XLOOKUP(TRUE, CHOOSECOLS(A438:V438, 1, 4, 7, 10, 13, 16, 19, 22)&lt;&gt;"", CHOOSECOLS(A438:V438, 1, 4, 7, 10, 13, 16, 19, 22), "", 0, -1)</f>
        <v/>
      </c>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AJ439" s="2"/>
      <c r="AN439" s="2"/>
      <c r="AO439" s="2"/>
      <c r="AP439" s="4" t="str">
        <f t="array" ref="AP439">XLOOKUP(TRUE, CHOOSECOLS(A439:V439, 1, 4, 7, 10, 13, 16, 19, 22)&lt;&gt;"", CHOOSECOLS(A439:V439, 1, 4, 7, 10, 13, 16, 19, 22), "", 0, -1)</f>
        <v/>
      </c>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AJ440" s="2"/>
      <c r="AN440" s="2"/>
      <c r="AO440" s="2"/>
      <c r="AP440" s="4" t="str">
        <f t="array" ref="AP440">XLOOKUP(TRUE, CHOOSECOLS(A440:V440, 1, 4, 7, 10, 13, 16, 19, 22)&lt;&gt;"", CHOOSECOLS(A440:V440, 1, 4, 7, 10, 13, 16, 19, 22), "", 0, -1)</f>
        <v/>
      </c>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AJ441" s="2"/>
      <c r="AN441" s="2"/>
      <c r="AO441" s="2"/>
      <c r="AP441" s="4" t="str">
        <f t="array" ref="AP441">XLOOKUP(TRUE, CHOOSECOLS(A441:V441, 1, 4, 7, 10, 13, 16, 19, 22)&lt;&gt;"", CHOOSECOLS(A441:V441, 1, 4, 7, 10, 13, 16, 19, 22), "", 0, -1)</f>
        <v/>
      </c>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AJ442" s="2"/>
      <c r="AN442" s="2"/>
      <c r="AO442" s="2"/>
      <c r="AP442" s="4" t="str">
        <f t="array" ref="AP442">XLOOKUP(TRUE, CHOOSECOLS(A442:V442, 1, 4, 7, 10, 13, 16, 19, 22)&lt;&gt;"", CHOOSECOLS(A442:V442, 1, 4, 7, 10, 13, 16, 19, 22), "", 0, -1)</f>
        <v/>
      </c>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AJ443" s="2"/>
      <c r="AN443" s="2"/>
      <c r="AO443" s="2"/>
      <c r="AP443" s="4" t="str">
        <f t="array" ref="AP443">XLOOKUP(TRUE, CHOOSECOLS(A443:V443, 1, 4, 7, 10, 13, 16, 19, 22)&lt;&gt;"", CHOOSECOLS(A443:V443, 1, 4, 7, 10, 13, 16, 19, 22), "", 0, -1)</f>
        <v/>
      </c>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AJ444" s="2"/>
      <c r="AN444" s="2"/>
      <c r="AO444" s="2"/>
      <c r="AP444" s="4" t="str">
        <f t="array" ref="AP444">XLOOKUP(TRUE, CHOOSECOLS(A444:V444, 1, 4, 7, 10, 13, 16, 19, 22)&lt;&gt;"", CHOOSECOLS(A444:V444, 1, 4, 7, 10, 13, 16, 19, 22), "", 0, -1)</f>
        <v/>
      </c>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AJ445" s="2"/>
      <c r="AN445" s="2"/>
      <c r="AO445" s="2"/>
      <c r="AP445" s="4" t="str">
        <f t="array" ref="AP445">XLOOKUP(TRUE, CHOOSECOLS(A445:V445, 1, 4, 7, 10, 13, 16, 19, 22)&lt;&gt;"", CHOOSECOLS(A445:V445, 1, 4, 7, 10, 13, 16, 19, 22), "", 0, -1)</f>
        <v/>
      </c>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AJ446" s="2"/>
      <c r="AN446" s="2"/>
      <c r="AO446" s="2"/>
      <c r="AP446" s="4" t="str">
        <f t="array" ref="AP446">XLOOKUP(TRUE, CHOOSECOLS(A446:V446, 1, 4, 7, 10, 13, 16, 19, 22)&lt;&gt;"", CHOOSECOLS(A446:V446, 1, 4, 7, 10, 13, 16, 19, 22), "", 0, -1)</f>
        <v/>
      </c>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AJ447" s="2"/>
      <c r="AN447" s="2"/>
      <c r="AO447" s="2"/>
      <c r="AP447" s="4" t="str">
        <f t="array" ref="AP447">XLOOKUP(TRUE, CHOOSECOLS(A447:V447, 1, 4, 7, 10, 13, 16, 19, 22)&lt;&gt;"", CHOOSECOLS(A447:V447, 1, 4, 7, 10, 13, 16, 19, 22), "", 0, -1)</f>
        <v/>
      </c>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AJ448" s="2"/>
      <c r="AN448" s="2"/>
      <c r="AO448" s="2"/>
      <c r="AP448" s="4" t="str">
        <f t="array" ref="AP448">XLOOKUP(TRUE, CHOOSECOLS(A448:V448, 1, 4, 7, 10, 13, 16, 19, 22)&lt;&gt;"", CHOOSECOLS(A448:V448, 1, 4, 7, 10, 13, 16, 19, 22), "", 0, -1)</f>
        <v/>
      </c>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AJ449" s="2"/>
      <c r="AN449" s="2"/>
      <c r="AO449" s="2"/>
      <c r="AP449" s="4" t="str">
        <f t="array" ref="AP449">XLOOKUP(TRUE, CHOOSECOLS(A449:V449, 1, 4, 7, 10, 13, 16, 19, 22)&lt;&gt;"", CHOOSECOLS(A449:V449, 1, 4, 7, 10, 13, 16, 19, 22), "", 0, -1)</f>
        <v/>
      </c>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AJ450" s="2"/>
      <c r="AN450" s="2"/>
      <c r="AO450" s="2"/>
      <c r="AP450" s="4" t="str">
        <f t="array" ref="AP450">XLOOKUP(TRUE, CHOOSECOLS(A450:V450, 1, 4, 7, 10, 13, 16, 19, 22)&lt;&gt;"", CHOOSECOLS(A450:V450, 1, 4, 7, 10, 13, 16, 19, 22), "", 0, -1)</f>
        <v/>
      </c>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AJ451" s="2"/>
      <c r="AN451" s="2"/>
      <c r="AO451" s="2"/>
      <c r="AP451" s="4" t="str">
        <f t="array" ref="AP451">XLOOKUP(TRUE, CHOOSECOLS(A451:V451, 1, 4, 7, 10, 13, 16, 19, 22)&lt;&gt;"", CHOOSECOLS(A451:V451, 1, 4, 7, 10, 13, 16, 19, 22), "", 0, -1)</f>
        <v/>
      </c>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AJ452" s="2"/>
      <c r="AN452" s="2"/>
      <c r="AO452" s="2"/>
      <c r="AP452" s="4" t="str">
        <f t="array" ref="AP452">XLOOKUP(TRUE, CHOOSECOLS(A452:V452, 1, 4, 7, 10, 13, 16, 19, 22)&lt;&gt;"", CHOOSECOLS(A452:V452, 1, 4, 7, 10, 13, 16, 19, 22), "", 0, -1)</f>
        <v/>
      </c>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AJ453" s="2"/>
      <c r="AN453" s="2"/>
      <c r="AO453" s="2"/>
      <c r="AP453" s="4" t="str">
        <f t="array" ref="AP453">XLOOKUP(TRUE, CHOOSECOLS(A453:V453, 1, 4, 7, 10, 13, 16, 19, 22)&lt;&gt;"", CHOOSECOLS(A453:V453, 1, 4, 7, 10, 13, 16, 19, 22), "", 0, -1)</f>
        <v/>
      </c>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AJ454" s="2"/>
      <c r="AN454" s="2"/>
      <c r="AO454" s="2"/>
      <c r="AP454" s="4" t="str">
        <f t="array" ref="AP454">XLOOKUP(TRUE, CHOOSECOLS(A454:V454, 1, 4, 7, 10, 13, 16, 19, 22)&lt;&gt;"", CHOOSECOLS(A454:V454, 1, 4, 7, 10, 13, 16, 19, 22), "", 0, -1)</f>
        <v/>
      </c>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AJ455" s="2"/>
      <c r="AN455" s="2"/>
      <c r="AO455" s="2"/>
      <c r="AP455" s="4" t="str">
        <f t="array" ref="AP455">XLOOKUP(TRUE, CHOOSECOLS(A455:V455, 1, 4, 7, 10, 13, 16, 19, 22)&lt;&gt;"", CHOOSECOLS(A455:V455, 1, 4, 7, 10, 13, 16, 19, 22), "", 0, -1)</f>
        <v/>
      </c>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AJ456" s="2"/>
      <c r="AN456" s="2"/>
      <c r="AO456" s="2"/>
      <c r="AP456" s="4" t="str">
        <f t="array" ref="AP456">XLOOKUP(TRUE, CHOOSECOLS(A456:V456, 1, 4, 7, 10, 13, 16, 19, 22)&lt;&gt;"", CHOOSECOLS(A456:V456, 1, 4, 7, 10, 13, 16, 19, 22), "", 0, -1)</f>
        <v/>
      </c>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AJ457" s="2"/>
      <c r="AN457" s="2"/>
      <c r="AO457" s="2"/>
      <c r="AP457" s="4" t="str">
        <f t="array" ref="AP457">XLOOKUP(TRUE, CHOOSECOLS(A457:V457, 1, 4, 7, 10, 13, 16, 19, 22)&lt;&gt;"", CHOOSECOLS(A457:V457, 1, 4, 7, 10, 13, 16, 19, 22), "", 0, -1)</f>
        <v/>
      </c>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AJ458" s="2"/>
      <c r="AN458" s="2"/>
      <c r="AO458" s="2"/>
      <c r="AP458" s="4" t="str">
        <f t="array" ref="AP458">XLOOKUP(TRUE, CHOOSECOLS(A458:V458, 1, 4, 7, 10, 13, 16, 19, 22)&lt;&gt;"", CHOOSECOLS(A458:V458, 1, 4, 7, 10, 13, 16, 19, 22), "", 0, -1)</f>
        <v/>
      </c>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AJ459" s="2"/>
      <c r="AN459" s="2"/>
      <c r="AO459" s="2"/>
      <c r="AP459" s="4" t="str">
        <f t="array" ref="AP459">XLOOKUP(TRUE, CHOOSECOLS(A459:V459, 1, 4, 7, 10, 13, 16, 19, 22)&lt;&gt;"", CHOOSECOLS(A459:V459, 1, 4, 7, 10, 13, 16, 19, 22), "", 0, -1)</f>
        <v/>
      </c>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AJ460" s="2"/>
      <c r="AN460" s="2"/>
      <c r="AO460" s="2"/>
      <c r="AP460" s="4" t="str">
        <f t="array" ref="AP460">XLOOKUP(TRUE, CHOOSECOLS(A460:V460, 1, 4, 7, 10, 13, 16, 19, 22)&lt;&gt;"", CHOOSECOLS(A460:V460, 1, 4, 7, 10, 13, 16, 19, 22), "", 0, -1)</f>
        <v/>
      </c>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AJ461" s="2"/>
      <c r="AN461" s="2"/>
      <c r="AO461" s="2"/>
      <c r="AP461" s="4" t="str">
        <f t="array" ref="AP461">XLOOKUP(TRUE, CHOOSECOLS(A461:V461, 1, 4, 7, 10, 13, 16, 19, 22)&lt;&gt;"", CHOOSECOLS(A461:V461, 1, 4, 7, 10, 13, 16, 19, 22), "", 0, -1)</f>
        <v/>
      </c>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AJ462" s="2"/>
      <c r="AN462" s="2"/>
      <c r="AO462" s="2"/>
      <c r="AP462" s="4" t="str">
        <f t="array" ref="AP462">XLOOKUP(TRUE, CHOOSECOLS(A462:V462, 1, 4, 7, 10, 13, 16, 19, 22)&lt;&gt;"", CHOOSECOLS(A462:V462, 1, 4, 7, 10, 13, 16, 19, 22), "", 0, -1)</f>
        <v/>
      </c>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AJ463" s="2"/>
      <c r="AN463" s="2"/>
      <c r="AO463" s="2"/>
      <c r="AP463" s="4" t="str">
        <f t="array" ref="AP463">XLOOKUP(TRUE, CHOOSECOLS(A463:V463, 1, 4, 7, 10, 13, 16, 19, 22)&lt;&gt;"", CHOOSECOLS(A463:V463, 1, 4, 7, 10, 13, 16, 19, 22), "", 0, -1)</f>
        <v/>
      </c>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AJ464" s="2"/>
      <c r="AN464" s="2"/>
      <c r="AO464" s="2"/>
      <c r="AP464" s="4" t="str">
        <f t="array" ref="AP464">XLOOKUP(TRUE, CHOOSECOLS(A464:V464, 1, 4, 7, 10, 13, 16, 19, 22)&lt;&gt;"", CHOOSECOLS(A464:V464, 1, 4, 7, 10, 13, 16, 19, 22), "", 0, -1)</f>
        <v/>
      </c>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AJ465" s="2"/>
      <c r="AN465" s="2"/>
      <c r="AO465" s="2"/>
      <c r="AP465" s="4" t="str">
        <f t="array" ref="AP465">XLOOKUP(TRUE, CHOOSECOLS(A465:V465, 1, 4, 7, 10, 13, 16, 19, 22)&lt;&gt;"", CHOOSECOLS(A465:V465, 1, 4, 7, 10, 13, 16, 19, 22), "", 0, -1)</f>
        <v/>
      </c>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AJ466" s="2"/>
      <c r="AN466" s="2"/>
      <c r="AO466" s="2"/>
      <c r="AP466" s="4" t="str">
        <f t="array" ref="AP466">XLOOKUP(TRUE, CHOOSECOLS(A466:V466, 1, 4, 7, 10, 13, 16, 19, 22)&lt;&gt;"", CHOOSECOLS(A466:V466, 1, 4, 7, 10, 13, 16, 19, 22), "", 0, -1)</f>
        <v/>
      </c>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AJ467" s="2"/>
      <c r="AN467" s="2"/>
      <c r="AO467" s="2"/>
      <c r="AP467" s="4" t="str">
        <f t="array" ref="AP467">XLOOKUP(TRUE, CHOOSECOLS(A467:V467, 1, 4, 7, 10, 13, 16, 19, 22)&lt;&gt;"", CHOOSECOLS(A467:V467, 1, 4, 7, 10, 13, 16, 19, 22), "", 0, -1)</f>
        <v/>
      </c>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AJ468" s="2"/>
      <c r="AN468" s="2"/>
      <c r="AO468" s="2"/>
      <c r="AP468" s="4" t="str">
        <f t="array" ref="AP468">XLOOKUP(TRUE, CHOOSECOLS(A468:V468, 1, 4, 7, 10, 13, 16, 19, 22)&lt;&gt;"", CHOOSECOLS(A468:V468, 1, 4, 7, 10, 13, 16, 19, 22), "", 0, -1)</f>
        <v/>
      </c>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AJ469" s="2"/>
      <c r="AN469" s="2"/>
      <c r="AO469" s="2"/>
      <c r="AP469" s="4" t="str">
        <f t="array" ref="AP469">XLOOKUP(TRUE, CHOOSECOLS(A469:V469, 1, 4, 7, 10, 13, 16, 19, 22)&lt;&gt;"", CHOOSECOLS(A469:V469, 1, 4, 7, 10, 13, 16, 19, 22), "", 0, -1)</f>
        <v/>
      </c>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AJ470" s="2"/>
      <c r="AN470" s="2"/>
      <c r="AO470" s="2"/>
      <c r="AP470" s="4" t="str">
        <f t="array" ref="AP470">XLOOKUP(TRUE, CHOOSECOLS(A470:V470, 1, 4, 7, 10, 13, 16, 19, 22)&lt;&gt;"", CHOOSECOLS(A470:V470, 1, 4, 7, 10, 13, 16, 19, 22), "", 0, -1)</f>
        <v/>
      </c>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AJ471" s="2"/>
      <c r="AN471" s="2"/>
      <c r="AO471" s="2"/>
      <c r="AP471" s="4" t="str">
        <f t="array" ref="AP471">XLOOKUP(TRUE, CHOOSECOLS(A471:V471, 1, 4, 7, 10, 13, 16, 19, 22)&lt;&gt;"", CHOOSECOLS(A471:V471, 1, 4, 7, 10, 13, 16, 19, 22), "", 0, -1)</f>
        <v/>
      </c>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AJ472" s="2"/>
      <c r="AN472" s="2"/>
      <c r="AO472" s="2"/>
      <c r="AP472" s="4" t="str">
        <f t="array" ref="AP472">XLOOKUP(TRUE, CHOOSECOLS(A472:V472, 1, 4, 7, 10, 13, 16, 19, 22)&lt;&gt;"", CHOOSECOLS(A472:V472, 1, 4, 7, 10, 13, 16, 19, 22), "", 0, -1)</f>
        <v/>
      </c>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AJ473" s="2"/>
      <c r="AN473" s="2"/>
      <c r="AO473" s="2"/>
      <c r="AP473" s="4" t="str">
        <f t="array" ref="AP473">XLOOKUP(TRUE, CHOOSECOLS(A473:V473, 1, 4, 7, 10, 13, 16, 19, 22)&lt;&gt;"", CHOOSECOLS(A473:V473, 1, 4, 7, 10, 13, 16, 19, 22), "", 0, -1)</f>
        <v/>
      </c>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AJ474" s="2"/>
      <c r="AN474" s="2"/>
      <c r="AO474" s="2"/>
      <c r="AP474" s="4" t="str">
        <f t="array" ref="AP474">XLOOKUP(TRUE, CHOOSECOLS(A474:V474, 1, 4, 7, 10, 13, 16, 19, 22)&lt;&gt;"", CHOOSECOLS(A474:V474, 1, 4, 7, 10, 13, 16, 19, 22), "", 0, -1)</f>
        <v/>
      </c>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AJ475" s="2"/>
      <c r="AN475" s="2"/>
      <c r="AO475" s="2"/>
      <c r="AP475" s="4" t="str">
        <f t="array" ref="AP475">XLOOKUP(TRUE, CHOOSECOLS(A475:V475, 1, 4, 7, 10, 13, 16, 19, 22)&lt;&gt;"", CHOOSECOLS(A475:V475, 1, 4, 7, 10, 13, 16, 19, 22), "", 0, -1)</f>
        <v/>
      </c>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AJ476" s="2"/>
      <c r="AN476" s="2"/>
      <c r="AO476" s="2"/>
      <c r="AP476" s="4" t="str">
        <f t="array" ref="AP476">XLOOKUP(TRUE, CHOOSECOLS(A476:V476, 1, 4, 7, 10, 13, 16, 19, 22)&lt;&gt;"", CHOOSECOLS(A476:V476, 1, 4, 7, 10, 13, 16, 19, 22), "", 0, -1)</f>
        <v/>
      </c>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AJ477" s="2"/>
      <c r="AN477" s="2"/>
      <c r="AO477" s="2"/>
      <c r="AP477" s="4" t="str">
        <f t="array" ref="AP477">XLOOKUP(TRUE, CHOOSECOLS(A477:V477, 1, 4, 7, 10, 13, 16, 19, 22)&lt;&gt;"", CHOOSECOLS(A477:V477, 1, 4, 7, 10, 13, 16, 19, 22), "", 0, -1)</f>
        <v/>
      </c>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AJ478" s="2"/>
      <c r="AN478" s="2"/>
      <c r="AO478" s="2"/>
      <c r="AP478" s="4" t="str">
        <f t="array" ref="AP478">XLOOKUP(TRUE, CHOOSECOLS(A478:V478, 1, 4, 7, 10, 13, 16, 19, 22)&lt;&gt;"", CHOOSECOLS(A478:V478, 1, 4, 7, 10, 13, 16, 19, 22), "", 0, -1)</f>
        <v/>
      </c>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AJ479" s="2"/>
      <c r="AN479" s="2"/>
      <c r="AO479" s="2"/>
      <c r="AP479" s="4" t="str">
        <f t="array" ref="AP479">XLOOKUP(TRUE, CHOOSECOLS(A479:V479, 1, 4, 7, 10, 13, 16, 19, 22)&lt;&gt;"", CHOOSECOLS(A479:V479, 1, 4, 7, 10, 13, 16, 19, 22), "", 0, -1)</f>
        <v/>
      </c>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AJ480" s="2"/>
      <c r="AN480" s="2"/>
      <c r="AO480" s="2"/>
      <c r="AP480" s="4" t="str">
        <f t="array" ref="AP480">XLOOKUP(TRUE, CHOOSECOLS(A480:V480, 1, 4, 7, 10, 13, 16, 19, 22)&lt;&gt;"", CHOOSECOLS(A480:V480, 1, 4, 7, 10, 13, 16, 19, 22), "", 0, -1)</f>
        <v/>
      </c>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AJ481" s="2"/>
      <c r="AN481" s="2"/>
      <c r="AO481" s="2"/>
      <c r="AP481" s="4" t="str">
        <f t="array" ref="AP481">XLOOKUP(TRUE, CHOOSECOLS(A481:V481, 1, 4, 7, 10, 13, 16, 19, 22)&lt;&gt;"", CHOOSECOLS(A481:V481, 1, 4, 7, 10, 13, 16, 19, 22), "", 0, -1)</f>
        <v/>
      </c>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AJ482" s="2"/>
      <c r="AN482" s="2"/>
      <c r="AO482" s="2"/>
      <c r="AP482" s="4" t="str">
        <f t="array" ref="AP482">XLOOKUP(TRUE, CHOOSECOLS(A482:V482, 1, 4, 7, 10, 13, 16, 19, 22)&lt;&gt;"", CHOOSECOLS(A482:V482, 1, 4, 7, 10, 13, 16, 19, 22), "", 0, -1)</f>
        <v/>
      </c>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AJ483" s="2"/>
      <c r="AN483" s="2"/>
      <c r="AO483" s="2"/>
      <c r="AP483" s="4" t="str">
        <f t="array" ref="AP483">XLOOKUP(TRUE, CHOOSECOLS(A483:V483, 1, 4, 7, 10, 13, 16, 19, 22)&lt;&gt;"", CHOOSECOLS(A483:V483, 1, 4, 7, 10, 13, 16, 19, 22), "", 0, -1)</f>
        <v/>
      </c>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AJ484" s="2"/>
      <c r="AN484" s="2"/>
      <c r="AO484" s="2"/>
      <c r="AP484" s="4" t="str">
        <f t="array" ref="AP484">XLOOKUP(TRUE, CHOOSECOLS(A484:V484, 1, 4, 7, 10, 13, 16, 19, 22)&lt;&gt;"", CHOOSECOLS(A484:V484, 1, 4, 7, 10, 13, 16, 19, 22), "", 0, -1)</f>
        <v/>
      </c>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AJ485" s="2"/>
      <c r="AN485" s="2"/>
      <c r="AO485" s="2"/>
      <c r="AP485" s="4" t="str">
        <f t="array" ref="AP485">XLOOKUP(TRUE, CHOOSECOLS(A485:V485, 1, 4, 7, 10, 13, 16, 19, 22)&lt;&gt;"", CHOOSECOLS(A485:V485, 1, 4, 7, 10, 13, 16, 19, 22), "", 0, -1)</f>
        <v/>
      </c>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AJ486" s="2"/>
      <c r="AN486" s="2"/>
      <c r="AO486" s="2"/>
      <c r="AP486" s="4" t="str">
        <f t="array" ref="AP486">XLOOKUP(TRUE, CHOOSECOLS(A486:V486, 1, 4, 7, 10, 13, 16, 19, 22)&lt;&gt;"", CHOOSECOLS(A486:V486, 1, 4, 7, 10, 13, 16, 19, 22), "", 0, -1)</f>
        <v/>
      </c>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AJ487" s="2"/>
      <c r="AN487" s="2"/>
      <c r="AO487" s="2"/>
      <c r="AP487" s="4" t="str">
        <f t="array" ref="AP487">XLOOKUP(TRUE, CHOOSECOLS(A487:V487, 1, 4, 7, 10, 13, 16, 19, 22)&lt;&gt;"", CHOOSECOLS(A487:V487, 1, 4, 7, 10, 13, 16, 19, 22), "", 0, -1)</f>
        <v/>
      </c>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AJ488" s="2"/>
      <c r="AN488" s="2"/>
      <c r="AO488" s="2"/>
      <c r="AP488" s="4" t="str">
        <f t="array" ref="AP488">XLOOKUP(TRUE, CHOOSECOLS(A488:V488, 1, 4, 7, 10, 13, 16, 19, 22)&lt;&gt;"", CHOOSECOLS(A488:V488, 1, 4, 7, 10, 13, 16, 19, 22), "", 0, -1)</f>
        <v/>
      </c>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AJ489" s="2"/>
      <c r="AN489" s="2"/>
      <c r="AO489" s="2"/>
      <c r="AP489" s="4" t="str">
        <f t="array" ref="AP489">XLOOKUP(TRUE, CHOOSECOLS(A489:V489, 1, 4, 7, 10, 13, 16, 19, 22)&lt;&gt;"", CHOOSECOLS(A489:V489, 1, 4, 7, 10, 13, 16, 19, 22), "", 0, -1)</f>
        <v/>
      </c>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AJ490" s="2"/>
      <c r="AN490" s="2"/>
      <c r="AO490" s="2"/>
      <c r="AP490" s="4" t="str">
        <f t="array" ref="AP490">XLOOKUP(TRUE, CHOOSECOLS(A490:V490, 1, 4, 7, 10, 13, 16, 19, 22)&lt;&gt;"", CHOOSECOLS(A490:V490, 1, 4, 7, 10, 13, 16, 19, 22), "", 0, -1)</f>
        <v/>
      </c>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AJ491" s="2"/>
      <c r="AN491" s="2"/>
      <c r="AO491" s="2"/>
      <c r="AP491" s="4" t="str">
        <f t="array" ref="AP491">XLOOKUP(TRUE, CHOOSECOLS(A491:V491, 1, 4, 7, 10, 13, 16, 19, 22)&lt;&gt;"", CHOOSECOLS(A491:V491, 1, 4, 7, 10, 13, 16, 19, 22), "", 0, -1)</f>
        <v/>
      </c>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AJ492" s="2"/>
      <c r="AN492" s="2"/>
      <c r="AO492" s="2"/>
      <c r="AP492" s="4" t="str">
        <f t="array" ref="AP492">XLOOKUP(TRUE, CHOOSECOLS(A492:V492, 1, 4, 7, 10, 13, 16, 19, 22)&lt;&gt;"", CHOOSECOLS(A492:V492, 1, 4, 7, 10, 13, 16, 19, 22), "", 0, -1)</f>
        <v/>
      </c>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AJ493" s="2"/>
      <c r="AN493" s="2"/>
      <c r="AO493" s="2"/>
      <c r="AP493" s="4" t="str">
        <f t="array" ref="AP493">XLOOKUP(TRUE, CHOOSECOLS(A493:V493, 1, 4, 7, 10, 13, 16, 19, 22)&lt;&gt;"", CHOOSECOLS(A493:V493, 1, 4, 7, 10, 13, 16, 19, 22), "", 0, -1)</f>
        <v/>
      </c>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AJ494" s="2"/>
      <c r="AN494" s="2"/>
      <c r="AO494" s="2"/>
      <c r="AP494" s="4" t="str">
        <f t="array" ref="AP494">XLOOKUP(TRUE, CHOOSECOLS(A494:V494, 1, 4, 7, 10, 13, 16, 19, 22)&lt;&gt;"", CHOOSECOLS(A494:V494, 1, 4, 7, 10, 13, 16, 19, 22), "", 0, -1)</f>
        <v/>
      </c>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AJ495" s="2"/>
      <c r="AN495" s="2"/>
      <c r="AO495" s="2"/>
      <c r="AP495" s="4" t="str">
        <f t="array" ref="AP495">XLOOKUP(TRUE, CHOOSECOLS(A495:V495, 1, 4, 7, 10, 13, 16, 19, 22)&lt;&gt;"", CHOOSECOLS(A495:V495, 1, 4, 7, 10, 13, 16, 19, 22), "", 0, -1)</f>
        <v/>
      </c>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AJ496" s="2"/>
      <c r="AN496" s="2"/>
      <c r="AO496" s="2"/>
      <c r="AP496" s="4" t="str">
        <f t="array" ref="AP496">XLOOKUP(TRUE, CHOOSECOLS(A496:V496, 1, 4, 7, 10, 13, 16, 19, 22)&lt;&gt;"", CHOOSECOLS(A496:V496, 1, 4, 7, 10, 13, 16, 19, 22), "", 0, -1)</f>
        <v/>
      </c>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AJ497" s="2"/>
      <c r="AN497" s="2"/>
      <c r="AO497" s="2"/>
      <c r="AP497" s="4" t="str">
        <f t="array" ref="AP497">XLOOKUP(TRUE, CHOOSECOLS(A497:V497, 1, 4, 7, 10, 13, 16, 19, 22)&lt;&gt;"", CHOOSECOLS(A497:V497, 1, 4, 7, 10, 13, 16, 19, 22), "", 0, -1)</f>
        <v/>
      </c>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AJ498" s="2"/>
      <c r="AN498" s="2"/>
      <c r="AO498" s="2"/>
      <c r="AP498" s="4" t="str">
        <f t="array" ref="AP498">XLOOKUP(TRUE, CHOOSECOLS(A498:V498, 1, 4, 7, 10, 13, 16, 19, 22)&lt;&gt;"", CHOOSECOLS(A498:V498, 1, 4, 7, 10, 13, 16, 19, 22), "", 0, -1)</f>
        <v/>
      </c>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AJ499" s="2"/>
      <c r="AN499" s="2"/>
      <c r="AO499" s="2"/>
      <c r="AP499" s="4" t="str">
        <f t="array" ref="AP499">XLOOKUP(TRUE, CHOOSECOLS(A499:V499, 1, 4, 7, 10, 13, 16, 19, 22)&lt;&gt;"", CHOOSECOLS(A499:V499, 1, 4, 7, 10, 13, 16, 19, 22), "", 0, -1)</f>
        <v/>
      </c>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AJ500" s="2"/>
      <c r="AN500" s="2"/>
      <c r="AO500" s="2"/>
      <c r="AP500" s="4" t="str">
        <f t="array" ref="AP500">XLOOKUP(TRUE, CHOOSECOLS(A500:V500, 1, 4, 7, 10, 13, 16, 19, 22)&lt;&gt;"", CHOOSECOLS(A500:V500, 1, 4, 7, 10, 13, 16, 19, 22), "", 0, -1)</f>
        <v/>
      </c>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AJ501" s="2"/>
      <c r="AN501" s="2"/>
      <c r="AO501" s="2"/>
      <c r="AP501" s="4" t="str">
        <f t="array" ref="AP501">XLOOKUP(TRUE, CHOOSECOLS(A501:V501, 1, 4, 7, 10, 13, 16, 19, 22)&lt;&gt;"", CHOOSECOLS(A501:V501, 1, 4, 7, 10, 13, 16, 19, 22), "", 0, -1)</f>
        <v/>
      </c>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AJ502" s="2"/>
      <c r="AN502" s="2"/>
      <c r="AO502" s="2"/>
      <c r="AP502" s="4" t="str">
        <f t="array" ref="AP502">XLOOKUP(TRUE, CHOOSECOLS(A502:V502, 1, 4, 7, 10, 13, 16, 19, 22)&lt;&gt;"", CHOOSECOLS(A502:V502, 1, 4, 7, 10, 13, 16, 19, 22), "", 0, -1)</f>
        <v/>
      </c>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AJ503" s="2"/>
      <c r="AN503" s="2"/>
      <c r="AO503" s="2"/>
      <c r="AP503" s="4" t="str">
        <f t="array" ref="AP503">XLOOKUP(TRUE, CHOOSECOLS(A503:V503, 1, 4, 7, 10, 13, 16, 19, 22)&lt;&gt;"", CHOOSECOLS(A503:V503, 1, 4, 7, 10, 13, 16, 19, 22), "", 0, -1)</f>
        <v/>
      </c>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AJ504" s="2"/>
      <c r="AN504" s="2"/>
      <c r="AO504" s="2"/>
      <c r="AP504" s="4" t="str">
        <f t="array" ref="AP504">XLOOKUP(TRUE, CHOOSECOLS(A504:V504, 1, 4, 7, 10, 13, 16, 19, 22)&lt;&gt;"", CHOOSECOLS(A504:V504, 1, 4, 7, 10, 13, 16, 19, 22), "", 0, -1)</f>
        <v/>
      </c>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AJ505" s="2"/>
      <c r="AN505" s="2"/>
      <c r="AO505" s="2"/>
      <c r="AP505" s="4" t="str">
        <f t="array" ref="AP505">XLOOKUP(TRUE, CHOOSECOLS(A505:V505, 1, 4, 7, 10, 13, 16, 19, 22)&lt;&gt;"", CHOOSECOLS(A505:V505, 1, 4, 7, 10, 13, 16, 19, 22), "", 0, -1)</f>
        <v/>
      </c>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AJ506" s="2"/>
      <c r="AN506" s="2"/>
      <c r="AO506" s="2"/>
      <c r="AP506" s="4" t="str">
        <f t="array" ref="AP506">XLOOKUP(TRUE, CHOOSECOLS(A506:V506, 1, 4, 7, 10, 13, 16, 19, 22)&lt;&gt;"", CHOOSECOLS(A506:V506, 1, 4, 7, 10, 13, 16, 19, 22), "", 0, -1)</f>
        <v/>
      </c>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AJ507" s="2"/>
      <c r="AN507" s="2"/>
      <c r="AO507" s="2"/>
      <c r="AP507" s="4" t="str">
        <f t="array" ref="AP507">XLOOKUP(TRUE, CHOOSECOLS(A507:V507, 1, 4, 7, 10, 13, 16, 19, 22)&lt;&gt;"", CHOOSECOLS(A507:V507, 1, 4, 7, 10, 13, 16, 19, 22), "", 0, -1)</f>
        <v/>
      </c>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AJ508" s="2"/>
      <c r="AN508" s="2"/>
      <c r="AO508" s="2"/>
      <c r="AP508" s="4" t="str">
        <f t="array" ref="AP508">XLOOKUP(TRUE, CHOOSECOLS(A508:V508, 1, 4, 7, 10, 13, 16, 19, 22)&lt;&gt;"", CHOOSECOLS(A508:V508, 1, 4, 7, 10, 13, 16, 19, 22), "", 0, -1)</f>
        <v/>
      </c>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AJ509" s="2"/>
      <c r="AN509" s="2"/>
      <c r="AO509" s="2"/>
      <c r="AP509" s="4" t="str">
        <f t="array" ref="AP509">XLOOKUP(TRUE, CHOOSECOLS(A509:V509, 1, 4, 7, 10, 13, 16, 19, 22)&lt;&gt;"", CHOOSECOLS(A509:V509, 1, 4, 7, 10, 13, 16, 19, 22), "", 0, -1)</f>
        <v/>
      </c>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AJ510" s="2"/>
      <c r="AN510" s="2"/>
      <c r="AO510" s="2"/>
      <c r="AP510" s="4" t="str">
        <f t="array" ref="AP510">XLOOKUP(TRUE, CHOOSECOLS(A510:V510, 1, 4, 7, 10, 13, 16, 19, 22)&lt;&gt;"", CHOOSECOLS(A510:V510, 1, 4, 7, 10, 13, 16, 19, 22), "", 0, -1)</f>
        <v/>
      </c>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AJ511" s="2"/>
      <c r="AN511" s="2"/>
      <c r="AO511" s="2"/>
      <c r="AP511" s="4" t="str">
        <f t="array" ref="AP511">XLOOKUP(TRUE, CHOOSECOLS(A511:V511, 1, 4, 7, 10, 13, 16, 19, 22)&lt;&gt;"", CHOOSECOLS(A511:V511, 1, 4, 7, 10, 13, 16, 19, 22), "", 0, -1)</f>
        <v/>
      </c>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AJ512" s="2"/>
      <c r="AN512" s="2"/>
      <c r="AO512" s="2"/>
      <c r="AP512" s="4" t="str">
        <f t="array" ref="AP512">XLOOKUP(TRUE, CHOOSECOLS(A512:V512, 1, 4, 7, 10, 13, 16, 19, 22)&lt;&gt;"", CHOOSECOLS(A512:V512, 1, 4, 7, 10, 13, 16, 19, 22), "", 0, -1)</f>
        <v/>
      </c>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AJ513" s="2"/>
      <c r="AN513" s="2"/>
      <c r="AO513" s="2"/>
      <c r="AP513" s="4" t="str">
        <f t="array" ref="AP513">XLOOKUP(TRUE, CHOOSECOLS(A513:V513, 1, 4, 7, 10, 13, 16, 19, 22)&lt;&gt;"", CHOOSECOLS(A513:V513, 1, 4, 7, 10, 13, 16, 19, 22), "", 0, -1)</f>
        <v/>
      </c>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AJ514" s="2"/>
      <c r="AN514" s="2"/>
      <c r="AO514" s="2"/>
      <c r="AP514" s="4" t="str">
        <f t="array" ref="AP514">XLOOKUP(TRUE, CHOOSECOLS(A514:V514, 1, 4, 7, 10, 13, 16, 19, 22)&lt;&gt;"", CHOOSECOLS(A514:V514, 1, 4, 7, 10, 13, 16, 19, 22), "", 0, -1)</f>
        <v/>
      </c>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AJ515" s="2"/>
      <c r="AN515" s="2"/>
      <c r="AO515" s="2"/>
      <c r="AP515" s="4" t="str">
        <f t="array" ref="AP515">XLOOKUP(TRUE, CHOOSECOLS(A515:V515, 1, 4, 7, 10, 13, 16, 19, 22)&lt;&gt;"", CHOOSECOLS(A515:V515, 1, 4, 7, 10, 13, 16, 19, 22), "", 0, -1)</f>
        <v/>
      </c>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AJ516" s="2"/>
      <c r="AN516" s="2"/>
      <c r="AO516" s="2"/>
      <c r="AP516" s="4" t="str">
        <f t="array" ref="AP516">XLOOKUP(TRUE, CHOOSECOLS(A516:V516, 1, 4, 7, 10, 13, 16, 19, 22)&lt;&gt;"", CHOOSECOLS(A516:V516, 1, 4, 7, 10, 13, 16, 19, 22), "", 0, -1)</f>
        <v/>
      </c>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AJ517" s="2"/>
      <c r="AN517" s="2"/>
      <c r="AO517" s="2"/>
      <c r="AP517" s="4" t="str">
        <f t="array" ref="AP517">XLOOKUP(TRUE, CHOOSECOLS(A517:V517, 1, 4, 7, 10, 13, 16, 19, 22)&lt;&gt;"", CHOOSECOLS(A517:V517, 1, 4, 7, 10, 13, 16, 19, 22), "", 0, -1)</f>
        <v/>
      </c>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AJ518" s="2"/>
      <c r="AN518" s="2"/>
      <c r="AO518" s="2"/>
      <c r="AP518" s="4" t="str">
        <f t="array" ref="AP518">XLOOKUP(TRUE, CHOOSECOLS(A518:V518, 1, 4, 7, 10, 13, 16, 19, 22)&lt;&gt;"", CHOOSECOLS(A518:V518, 1, 4, 7, 10, 13, 16, 19, 22), "", 0, -1)</f>
        <v/>
      </c>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AJ519" s="2"/>
      <c r="AN519" s="2"/>
      <c r="AO519" s="2"/>
      <c r="AP519" s="4" t="str">
        <f t="array" ref="AP519">XLOOKUP(TRUE, CHOOSECOLS(A519:V519, 1, 4, 7, 10, 13, 16, 19, 22)&lt;&gt;"", CHOOSECOLS(A519:V519, 1, 4, 7, 10, 13, 16, 19, 22), "", 0, -1)</f>
        <v/>
      </c>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AJ520" s="2"/>
      <c r="AN520" s="2"/>
      <c r="AO520" s="2"/>
      <c r="AP520" s="4" t="str">
        <f t="array" ref="AP520">XLOOKUP(TRUE, CHOOSECOLS(A520:V520, 1, 4, 7, 10, 13, 16, 19, 22)&lt;&gt;"", CHOOSECOLS(A520:V520, 1, 4, 7, 10, 13, 16, 19, 22), "", 0, -1)</f>
        <v/>
      </c>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AJ521" s="2"/>
      <c r="AN521" s="2"/>
      <c r="AO521" s="2"/>
      <c r="AP521" s="4" t="str">
        <f t="array" ref="AP521">XLOOKUP(TRUE, CHOOSECOLS(A521:V521, 1, 4, 7, 10, 13, 16, 19, 22)&lt;&gt;"", CHOOSECOLS(A521:V521, 1, 4, 7, 10, 13, 16, 19, 22), "", 0, -1)</f>
        <v/>
      </c>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AJ522" s="2"/>
      <c r="AN522" s="2"/>
      <c r="AO522" s="2"/>
      <c r="AP522" s="4" t="str">
        <f t="array" ref="AP522">XLOOKUP(TRUE, CHOOSECOLS(A522:V522, 1, 4, 7, 10, 13, 16, 19, 22)&lt;&gt;"", CHOOSECOLS(A522:V522, 1, 4, 7, 10, 13, 16, 19, 22), "", 0, -1)</f>
        <v/>
      </c>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AJ523" s="2"/>
      <c r="AN523" s="2"/>
      <c r="AO523" s="2"/>
      <c r="AP523" s="4" t="str">
        <f t="array" ref="AP523">XLOOKUP(TRUE, CHOOSECOLS(A523:V523, 1, 4, 7, 10, 13, 16, 19, 22)&lt;&gt;"", CHOOSECOLS(A523:V523, 1, 4, 7, 10, 13, 16, 19, 22), "", 0, -1)</f>
        <v/>
      </c>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AJ524" s="2"/>
      <c r="AN524" s="2"/>
      <c r="AO524" s="2"/>
      <c r="AP524" s="4" t="str">
        <f t="array" ref="AP524">XLOOKUP(TRUE, CHOOSECOLS(A524:V524, 1, 4, 7, 10, 13, 16, 19, 22)&lt;&gt;"", CHOOSECOLS(A524:V524, 1, 4, 7, 10, 13, 16, 19, 22), "", 0, -1)</f>
        <v/>
      </c>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AJ525" s="2"/>
      <c r="AN525" s="2"/>
      <c r="AO525" s="2"/>
      <c r="AP525" s="4" t="str">
        <f t="array" ref="AP525">XLOOKUP(TRUE, CHOOSECOLS(A525:V525, 1, 4, 7, 10, 13, 16, 19, 22)&lt;&gt;"", CHOOSECOLS(A525:V525, 1, 4, 7, 10, 13, 16, 19, 22), "", 0, -1)</f>
        <v/>
      </c>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AJ526" s="2"/>
      <c r="AN526" s="2"/>
      <c r="AO526" s="2"/>
      <c r="AP526" s="4" t="str">
        <f t="array" ref="AP526">XLOOKUP(TRUE, CHOOSECOLS(A526:V526, 1, 4, 7, 10, 13, 16, 19, 22)&lt;&gt;"", CHOOSECOLS(A526:V526, 1, 4, 7, 10, 13, 16, 19, 22), "", 0, -1)</f>
        <v/>
      </c>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AJ527" s="2"/>
      <c r="AN527" s="2"/>
      <c r="AO527" s="2"/>
      <c r="AP527" s="4" t="str">
        <f t="array" ref="AP527">XLOOKUP(TRUE, CHOOSECOLS(A527:V527, 1, 4, 7, 10, 13, 16, 19, 22)&lt;&gt;"", CHOOSECOLS(A527:V527, 1, 4, 7, 10, 13, 16, 19, 22), "", 0, -1)</f>
        <v/>
      </c>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AJ528" s="2"/>
      <c r="AN528" s="2"/>
      <c r="AO528" s="2"/>
      <c r="AP528" s="4" t="str">
        <f t="array" ref="AP528">XLOOKUP(TRUE, CHOOSECOLS(A528:V528, 1, 4, 7, 10, 13, 16, 19, 22)&lt;&gt;"", CHOOSECOLS(A528:V528, 1, 4, 7, 10, 13, 16, 19, 22), "", 0, -1)</f>
        <v/>
      </c>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AJ529" s="2"/>
      <c r="AN529" s="2"/>
      <c r="AO529" s="2"/>
      <c r="AP529" s="4" t="str">
        <f t="array" ref="AP529">XLOOKUP(TRUE, CHOOSECOLS(A529:V529, 1, 4, 7, 10, 13, 16, 19, 22)&lt;&gt;"", CHOOSECOLS(A529:V529, 1, 4, 7, 10, 13, 16, 19, 22), "", 0, -1)</f>
        <v/>
      </c>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AJ530" s="2"/>
      <c r="AN530" s="2"/>
      <c r="AO530" s="2"/>
      <c r="AP530" s="4" t="str">
        <f t="array" ref="AP530">XLOOKUP(TRUE, CHOOSECOLS(A530:V530, 1, 4, 7, 10, 13, 16, 19, 22)&lt;&gt;"", CHOOSECOLS(A530:V530, 1, 4, 7, 10, 13, 16, 19, 22), "", 0, -1)</f>
        <v/>
      </c>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AJ531" s="2"/>
      <c r="AN531" s="2"/>
      <c r="AO531" s="2"/>
      <c r="AP531" s="4" t="str">
        <f t="array" ref="AP531">XLOOKUP(TRUE, CHOOSECOLS(A531:V531, 1, 4, 7, 10, 13, 16, 19, 22)&lt;&gt;"", CHOOSECOLS(A531:V531, 1, 4, 7, 10, 13, 16, 19, 22), "", 0, -1)</f>
        <v/>
      </c>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AJ532" s="2"/>
      <c r="AN532" s="2"/>
      <c r="AO532" s="2"/>
      <c r="AP532" s="4" t="str">
        <f t="array" ref="AP532">XLOOKUP(TRUE, CHOOSECOLS(A532:V532, 1, 4, 7, 10, 13, 16, 19, 22)&lt;&gt;"", CHOOSECOLS(A532:V532, 1, 4, 7, 10, 13, 16, 19, 22), "", 0, -1)</f>
        <v/>
      </c>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AJ533" s="2"/>
      <c r="AN533" s="2"/>
      <c r="AO533" s="2"/>
      <c r="AP533" s="4" t="str">
        <f t="array" ref="AP533">XLOOKUP(TRUE, CHOOSECOLS(A533:V533, 1, 4, 7, 10, 13, 16, 19, 22)&lt;&gt;"", CHOOSECOLS(A533:V533, 1, 4, 7, 10, 13, 16, 19, 22), "", 0, -1)</f>
        <v/>
      </c>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AJ534" s="2"/>
      <c r="AN534" s="2"/>
      <c r="AO534" s="2"/>
      <c r="AP534" s="4" t="str">
        <f t="array" ref="AP534">XLOOKUP(TRUE, CHOOSECOLS(A534:V534, 1, 4, 7, 10, 13, 16, 19, 22)&lt;&gt;"", CHOOSECOLS(A534:V534, 1, 4, 7, 10, 13, 16, 19, 22), "", 0, -1)</f>
        <v/>
      </c>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AJ535" s="2"/>
      <c r="AN535" s="2"/>
      <c r="AO535" s="2"/>
      <c r="AP535" s="4" t="str">
        <f t="array" ref="AP535">XLOOKUP(TRUE, CHOOSECOLS(A535:V535, 1, 4, 7, 10, 13, 16, 19, 22)&lt;&gt;"", CHOOSECOLS(A535:V535, 1, 4, 7, 10, 13, 16, 19, 22), "", 0, -1)</f>
        <v/>
      </c>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AJ536" s="2"/>
      <c r="AN536" s="2"/>
      <c r="AO536" s="2"/>
      <c r="AP536" s="4" t="str">
        <f t="array" ref="AP536">XLOOKUP(TRUE, CHOOSECOLS(A536:V536, 1, 4, 7, 10, 13, 16, 19, 22)&lt;&gt;"", CHOOSECOLS(A536:V536, 1, 4, 7, 10, 13, 16, 19, 22), "", 0, -1)</f>
        <v/>
      </c>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AJ537" s="2"/>
      <c r="AN537" s="2"/>
      <c r="AO537" s="2"/>
      <c r="AP537" s="4" t="str">
        <f t="array" ref="AP537">XLOOKUP(TRUE, CHOOSECOLS(A537:V537, 1, 4, 7, 10, 13, 16, 19, 22)&lt;&gt;"", CHOOSECOLS(A537:V537, 1, 4, 7, 10, 13, 16, 19, 22), "", 0, -1)</f>
        <v/>
      </c>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AJ538" s="2"/>
      <c r="AN538" s="2"/>
      <c r="AO538" s="2"/>
      <c r="AP538" s="4" t="str">
        <f t="array" ref="AP538">XLOOKUP(TRUE, CHOOSECOLS(A538:V538, 1, 4, 7, 10, 13, 16, 19, 22)&lt;&gt;"", CHOOSECOLS(A538:V538, 1, 4, 7, 10, 13, 16, 19, 22), "", 0, -1)</f>
        <v/>
      </c>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AJ539" s="2"/>
      <c r="AN539" s="2"/>
      <c r="AO539" s="2"/>
      <c r="AP539" s="4" t="str">
        <f t="array" ref="AP539">XLOOKUP(TRUE, CHOOSECOLS(A539:V539, 1, 4, 7, 10, 13, 16, 19, 22)&lt;&gt;"", CHOOSECOLS(A539:V539, 1, 4, 7, 10, 13, 16, 19, 22), "", 0, -1)</f>
        <v/>
      </c>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AJ540" s="2"/>
      <c r="AN540" s="2"/>
      <c r="AO540" s="2"/>
      <c r="AP540" s="4" t="str">
        <f t="array" ref="AP540">XLOOKUP(TRUE, CHOOSECOLS(A540:V540, 1, 4, 7, 10, 13, 16, 19, 22)&lt;&gt;"", CHOOSECOLS(A540:V540, 1, 4, 7, 10, 13, 16, 19, 22), "", 0, -1)</f>
        <v/>
      </c>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AJ541" s="2"/>
      <c r="AN541" s="2"/>
      <c r="AO541" s="2"/>
      <c r="AP541" s="4" t="str">
        <f t="array" ref="AP541">XLOOKUP(TRUE, CHOOSECOLS(A541:V541, 1, 4, 7, 10, 13, 16, 19, 22)&lt;&gt;"", CHOOSECOLS(A541:V541, 1, 4, 7, 10, 13, 16, 19, 22), "", 0, -1)</f>
        <v/>
      </c>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AJ542" s="2"/>
      <c r="AN542" s="2"/>
      <c r="AO542" s="2"/>
      <c r="AP542" s="4" t="str">
        <f t="array" ref="AP542">XLOOKUP(TRUE, CHOOSECOLS(A542:V542, 1, 4, 7, 10, 13, 16, 19, 22)&lt;&gt;"", CHOOSECOLS(A542:V542, 1, 4, 7, 10, 13, 16, 19, 22), "", 0, -1)</f>
        <v/>
      </c>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AJ543" s="2"/>
      <c r="AN543" s="2"/>
      <c r="AO543" s="2"/>
      <c r="AP543" s="4" t="str">
        <f t="array" ref="AP543">XLOOKUP(TRUE, CHOOSECOLS(A543:V543, 1, 4, 7, 10, 13, 16, 19, 22)&lt;&gt;"", CHOOSECOLS(A543:V543, 1, 4, 7, 10, 13, 16, 19, 22), "", 0, -1)</f>
        <v/>
      </c>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AJ544" s="2"/>
      <c r="AN544" s="2"/>
      <c r="AO544" s="2"/>
      <c r="AP544" s="4" t="str">
        <f t="array" ref="AP544">XLOOKUP(TRUE, CHOOSECOLS(A544:V544, 1, 4, 7, 10, 13, 16, 19, 22)&lt;&gt;"", CHOOSECOLS(A544:V544, 1, 4, 7, 10, 13, 16, 19, 22), "", 0, -1)</f>
        <v/>
      </c>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AJ545" s="2"/>
      <c r="AN545" s="2"/>
      <c r="AO545" s="2"/>
      <c r="AP545" s="4" t="str">
        <f t="array" ref="AP545">XLOOKUP(TRUE, CHOOSECOLS(A545:V545, 1, 4, 7, 10, 13, 16, 19, 22)&lt;&gt;"", CHOOSECOLS(A545:V545, 1, 4, 7, 10, 13, 16, 19, 22), "", 0, -1)</f>
        <v/>
      </c>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AJ546" s="2"/>
      <c r="AN546" s="2"/>
      <c r="AO546" s="2"/>
      <c r="AP546" s="4" t="str">
        <f t="array" ref="AP546">XLOOKUP(TRUE, CHOOSECOLS(A546:V546, 1, 4, 7, 10, 13, 16, 19, 22)&lt;&gt;"", CHOOSECOLS(A546:V546, 1, 4, 7, 10, 13, 16, 19, 22), "", 0, -1)</f>
        <v/>
      </c>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AJ547" s="2"/>
      <c r="AN547" s="2"/>
      <c r="AO547" s="2"/>
      <c r="AP547" s="4" t="str">
        <f t="array" ref="AP547">XLOOKUP(TRUE, CHOOSECOLS(A547:V547, 1, 4, 7, 10, 13, 16, 19, 22)&lt;&gt;"", CHOOSECOLS(A547:V547, 1, 4, 7, 10, 13, 16, 19, 22), "", 0, -1)</f>
        <v/>
      </c>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AJ548" s="2"/>
      <c r="AN548" s="2"/>
      <c r="AO548" s="2"/>
      <c r="AP548" s="4" t="str">
        <f t="array" ref="AP548">XLOOKUP(TRUE, CHOOSECOLS(A548:V548, 1, 4, 7, 10, 13, 16, 19, 22)&lt;&gt;"", CHOOSECOLS(A548:V548, 1, 4, 7, 10, 13, 16, 19, 22), "", 0, -1)</f>
        <v/>
      </c>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AJ549" s="2"/>
      <c r="AN549" s="2"/>
      <c r="AO549" s="2"/>
      <c r="AP549" s="4" t="str">
        <f t="array" ref="AP549">XLOOKUP(TRUE, CHOOSECOLS(A549:V549, 1, 4, 7, 10, 13, 16, 19, 22)&lt;&gt;"", CHOOSECOLS(A549:V549, 1, 4, 7, 10, 13, 16, 19, 22), "", 0, -1)</f>
        <v/>
      </c>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AJ550" s="2"/>
      <c r="AN550" s="2"/>
      <c r="AO550" s="2"/>
      <c r="AP550" s="4" t="str">
        <f t="array" ref="AP550">XLOOKUP(TRUE, CHOOSECOLS(A550:V550, 1, 4, 7, 10, 13, 16, 19, 22)&lt;&gt;"", CHOOSECOLS(A550:V550, 1, 4, 7, 10, 13, 16, 19, 22), "", 0, -1)</f>
        <v/>
      </c>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AJ551" s="2"/>
      <c r="AN551" s="2"/>
      <c r="AO551" s="2"/>
      <c r="AP551" s="4" t="str">
        <f t="array" ref="AP551">XLOOKUP(TRUE, CHOOSECOLS(A551:V551, 1, 4, 7, 10, 13, 16, 19, 22)&lt;&gt;"", CHOOSECOLS(A551:V551, 1, 4, 7, 10, 13, 16, 19, 22), "", 0, -1)</f>
        <v/>
      </c>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AJ552" s="2"/>
      <c r="AN552" s="2"/>
      <c r="AO552" s="2"/>
      <c r="AP552" s="4" t="str">
        <f t="array" ref="AP552">XLOOKUP(TRUE, CHOOSECOLS(A552:V552, 1, 4, 7, 10, 13, 16, 19, 22)&lt;&gt;"", CHOOSECOLS(A552:V552, 1, 4, 7, 10, 13, 16, 19, 22), "", 0, -1)</f>
        <v/>
      </c>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AJ553" s="2"/>
      <c r="AN553" s="2"/>
      <c r="AO553" s="2"/>
      <c r="AP553" s="4" t="str">
        <f t="array" ref="AP553">XLOOKUP(TRUE, CHOOSECOLS(A553:V553, 1, 4, 7, 10, 13, 16, 19, 22)&lt;&gt;"", CHOOSECOLS(A553:V553, 1, 4, 7, 10, 13, 16, 19, 22), "", 0, -1)</f>
        <v/>
      </c>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AJ554" s="2"/>
      <c r="AN554" s="2"/>
      <c r="AO554" s="2"/>
      <c r="AP554" s="4" t="str">
        <f t="array" ref="AP554">XLOOKUP(TRUE, CHOOSECOLS(A554:V554, 1, 4, 7, 10, 13, 16, 19, 22)&lt;&gt;"", CHOOSECOLS(A554:V554, 1, 4, 7, 10, 13, 16, 19, 22), "", 0, -1)</f>
        <v/>
      </c>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AJ555" s="2"/>
      <c r="AN555" s="2"/>
      <c r="AO555" s="2"/>
      <c r="AP555" s="4" t="str">
        <f t="array" ref="AP555">XLOOKUP(TRUE, CHOOSECOLS(A555:V555, 1, 4, 7, 10, 13, 16, 19, 22)&lt;&gt;"", CHOOSECOLS(A555:V555, 1, 4, 7, 10, 13, 16, 19, 22), "", 0, -1)</f>
        <v/>
      </c>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AJ556" s="2"/>
      <c r="AN556" s="2"/>
      <c r="AO556" s="2"/>
      <c r="AP556" s="4" t="str">
        <f t="array" ref="AP556">XLOOKUP(TRUE, CHOOSECOLS(A556:V556, 1, 4, 7, 10, 13, 16, 19, 22)&lt;&gt;"", CHOOSECOLS(A556:V556, 1, 4, 7, 10, 13, 16, 19, 22), "", 0, -1)</f>
        <v/>
      </c>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AJ557" s="2"/>
      <c r="AN557" s="2"/>
      <c r="AO557" s="2"/>
      <c r="AP557" s="4" t="str">
        <f t="array" ref="AP557">XLOOKUP(TRUE, CHOOSECOLS(A557:V557, 1, 4, 7, 10, 13, 16, 19, 22)&lt;&gt;"", CHOOSECOLS(A557:V557, 1, 4, 7, 10, 13, 16, 19, 22), "", 0, -1)</f>
        <v/>
      </c>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AJ558" s="2"/>
      <c r="AN558" s="2"/>
      <c r="AO558" s="2"/>
      <c r="AP558" s="4" t="str">
        <f t="array" ref="AP558">XLOOKUP(TRUE, CHOOSECOLS(A558:V558, 1, 4, 7, 10, 13, 16, 19, 22)&lt;&gt;"", CHOOSECOLS(A558:V558, 1, 4, 7, 10, 13, 16, 19, 22), "", 0, -1)</f>
        <v/>
      </c>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AJ559" s="2"/>
      <c r="AN559" s="2"/>
      <c r="AO559" s="2"/>
      <c r="AP559" s="4" t="str">
        <f t="array" ref="AP559">XLOOKUP(TRUE, CHOOSECOLS(A559:V559, 1, 4, 7, 10, 13, 16, 19, 22)&lt;&gt;"", CHOOSECOLS(A559:V559, 1, 4, 7, 10, 13, 16, 19, 22), "", 0, -1)</f>
        <v/>
      </c>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AJ560" s="2"/>
      <c r="AN560" s="2"/>
      <c r="AO560" s="2"/>
      <c r="AP560" s="4" t="str">
        <f t="array" ref="AP560">XLOOKUP(TRUE, CHOOSECOLS(A560:V560, 1, 4, 7, 10, 13, 16, 19, 22)&lt;&gt;"", CHOOSECOLS(A560:V560, 1, 4, 7, 10, 13, 16, 19, 22), "", 0, -1)</f>
        <v/>
      </c>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AJ561" s="2"/>
      <c r="AN561" s="2"/>
      <c r="AO561" s="2"/>
      <c r="AP561" s="4" t="str">
        <f t="array" ref="AP561">XLOOKUP(TRUE, CHOOSECOLS(A561:V561, 1, 4, 7, 10, 13, 16, 19, 22)&lt;&gt;"", CHOOSECOLS(A561:V561, 1, 4, 7, 10, 13, 16, 19, 22), "", 0, -1)</f>
        <v/>
      </c>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AJ562" s="2"/>
      <c r="AN562" s="2"/>
      <c r="AO562" s="2"/>
      <c r="AP562" s="4" t="str">
        <f t="array" ref="AP562">XLOOKUP(TRUE, CHOOSECOLS(A562:V562, 1, 4, 7, 10, 13, 16, 19, 22)&lt;&gt;"", CHOOSECOLS(A562:V562, 1, 4, 7, 10, 13, 16, 19, 22), "", 0, -1)</f>
        <v/>
      </c>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AJ563" s="2"/>
      <c r="AN563" s="2"/>
      <c r="AO563" s="2"/>
      <c r="AP563" s="4" t="str">
        <f t="array" ref="AP563">XLOOKUP(TRUE, CHOOSECOLS(A563:V563, 1, 4, 7, 10, 13, 16, 19, 22)&lt;&gt;"", CHOOSECOLS(A563:V563, 1, 4, 7, 10, 13, 16, 19, 22), "", 0, -1)</f>
        <v/>
      </c>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AJ564" s="2"/>
      <c r="AN564" s="2"/>
      <c r="AO564" s="2"/>
      <c r="AP564" s="4" t="str">
        <f t="array" ref="AP564">XLOOKUP(TRUE, CHOOSECOLS(A564:V564, 1, 4, 7, 10, 13, 16, 19, 22)&lt;&gt;"", CHOOSECOLS(A564:V564, 1, 4, 7, 10, 13, 16, 19, 22), "", 0, -1)</f>
        <v/>
      </c>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AJ565" s="2"/>
      <c r="AN565" s="2"/>
      <c r="AO565" s="2"/>
      <c r="AP565" s="4" t="str">
        <f t="array" ref="AP565">XLOOKUP(TRUE, CHOOSECOLS(A565:V565, 1, 4, 7, 10, 13, 16, 19, 22)&lt;&gt;"", CHOOSECOLS(A565:V565, 1, 4, 7, 10, 13, 16, 19, 22), "", 0, -1)</f>
        <v/>
      </c>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AJ566" s="2"/>
      <c r="AN566" s="2"/>
      <c r="AO566" s="2"/>
      <c r="AP566" s="4" t="str">
        <f t="array" ref="AP566">XLOOKUP(TRUE, CHOOSECOLS(A566:V566, 1, 4, 7, 10, 13, 16, 19, 22)&lt;&gt;"", CHOOSECOLS(A566:V566, 1, 4, 7, 10, 13, 16, 19, 22), "", 0, -1)</f>
        <v/>
      </c>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AJ567" s="2"/>
      <c r="AN567" s="2"/>
      <c r="AO567" s="2"/>
      <c r="AP567" s="4" t="str">
        <f t="array" ref="AP567">XLOOKUP(TRUE, CHOOSECOLS(A567:V567, 1, 4, 7, 10, 13, 16, 19, 22)&lt;&gt;"", CHOOSECOLS(A567:V567, 1, 4, 7, 10, 13, 16, 19, 22), "", 0, -1)</f>
        <v/>
      </c>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AJ568" s="2"/>
      <c r="AN568" s="2"/>
      <c r="AO568" s="2"/>
      <c r="AP568" s="4" t="str">
        <f t="array" ref="AP568">XLOOKUP(TRUE, CHOOSECOLS(A568:V568, 1, 4, 7, 10, 13, 16, 19, 22)&lt;&gt;"", CHOOSECOLS(A568:V568, 1, 4, 7, 10, 13, 16, 19, 22), "", 0, -1)</f>
        <v/>
      </c>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AJ569" s="2"/>
      <c r="AN569" s="2"/>
      <c r="AO569" s="2"/>
      <c r="AP569" s="4" t="str">
        <f t="array" ref="AP569">XLOOKUP(TRUE, CHOOSECOLS(A569:V569, 1, 4, 7, 10, 13, 16, 19, 22)&lt;&gt;"", CHOOSECOLS(A569:V569, 1, 4, 7, 10, 13, 16, 19, 22), "", 0, -1)</f>
        <v/>
      </c>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AJ570" s="2"/>
      <c r="AN570" s="2"/>
      <c r="AO570" s="2"/>
      <c r="AP570" s="4" t="str">
        <f t="array" ref="AP570">XLOOKUP(TRUE, CHOOSECOLS(A570:V570, 1, 4, 7, 10, 13, 16, 19, 22)&lt;&gt;"", CHOOSECOLS(A570:V570, 1, 4, 7, 10, 13, 16, 19, 22), "", 0, -1)</f>
        <v/>
      </c>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AJ571" s="2"/>
      <c r="AN571" s="2"/>
      <c r="AO571" s="2"/>
      <c r="AP571" s="4" t="str">
        <f t="array" ref="AP571">XLOOKUP(TRUE, CHOOSECOLS(A571:V571, 1, 4, 7, 10, 13, 16, 19, 22)&lt;&gt;"", CHOOSECOLS(A571:V571, 1, 4, 7, 10, 13, 16, 19, 22), "", 0, -1)</f>
        <v/>
      </c>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AJ572" s="2"/>
      <c r="AN572" s="2"/>
      <c r="AO572" s="2"/>
      <c r="AP572" s="4" t="str">
        <f t="array" ref="AP572">XLOOKUP(TRUE, CHOOSECOLS(A572:V572, 1, 4, 7, 10, 13, 16, 19, 22)&lt;&gt;"", CHOOSECOLS(A572:V572, 1, 4, 7, 10, 13, 16, 19, 22), "", 0, -1)</f>
        <v/>
      </c>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AJ573" s="2"/>
      <c r="AN573" s="2"/>
      <c r="AO573" s="2"/>
      <c r="AP573" s="4" t="str">
        <f t="array" ref="AP573">XLOOKUP(TRUE, CHOOSECOLS(A573:V573, 1, 4, 7, 10, 13, 16, 19, 22)&lt;&gt;"", CHOOSECOLS(A573:V573, 1, 4, 7, 10, 13, 16, 19, 22), "", 0, -1)</f>
        <v/>
      </c>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AJ574" s="2"/>
      <c r="AN574" s="2"/>
      <c r="AO574" s="2"/>
      <c r="AP574" s="4" t="str">
        <f t="array" ref="AP574">XLOOKUP(TRUE, CHOOSECOLS(A574:V574, 1, 4, 7, 10, 13, 16, 19, 22)&lt;&gt;"", CHOOSECOLS(A574:V574, 1, 4, 7, 10, 13, 16, 19, 22), "", 0, -1)</f>
        <v/>
      </c>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AJ575" s="2"/>
      <c r="AN575" s="2"/>
      <c r="AO575" s="2"/>
      <c r="AP575" s="4" t="str">
        <f t="array" ref="AP575">XLOOKUP(TRUE, CHOOSECOLS(A575:V575, 1, 4, 7, 10, 13, 16, 19, 22)&lt;&gt;"", CHOOSECOLS(A575:V575, 1, 4, 7, 10, 13, 16, 19, 22), "", 0, -1)</f>
        <v/>
      </c>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AJ576" s="2"/>
      <c r="AN576" s="2"/>
      <c r="AO576" s="2"/>
      <c r="AP576" s="4" t="str">
        <f t="array" ref="AP576">XLOOKUP(TRUE, CHOOSECOLS(A576:V576, 1, 4, 7, 10, 13, 16, 19, 22)&lt;&gt;"", CHOOSECOLS(A576:V576, 1, 4, 7, 10, 13, 16, 19, 22), "", 0, -1)</f>
        <v/>
      </c>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AJ577" s="2"/>
      <c r="AN577" s="2"/>
      <c r="AO577" s="2"/>
      <c r="AP577" s="4" t="str">
        <f t="array" ref="AP577">XLOOKUP(TRUE, CHOOSECOLS(A577:V577, 1, 4, 7, 10, 13, 16, 19, 22)&lt;&gt;"", CHOOSECOLS(A577:V577, 1, 4, 7, 10, 13, 16, 19, 22), "", 0, -1)</f>
        <v/>
      </c>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AJ578" s="2"/>
      <c r="AN578" s="2"/>
      <c r="AO578" s="2"/>
      <c r="AP578" s="4" t="str">
        <f t="array" ref="AP578">XLOOKUP(TRUE, CHOOSECOLS(A578:V578, 1, 4, 7, 10, 13, 16, 19, 22)&lt;&gt;"", CHOOSECOLS(A578:V578, 1, 4, 7, 10, 13, 16, 19, 22), "", 0, -1)</f>
        <v/>
      </c>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AJ579" s="2"/>
      <c r="AN579" s="2"/>
      <c r="AO579" s="2"/>
      <c r="AP579" s="4" t="str">
        <f t="array" ref="AP579">XLOOKUP(TRUE, CHOOSECOLS(A579:V579, 1, 4, 7, 10, 13, 16, 19, 22)&lt;&gt;"", CHOOSECOLS(A579:V579, 1, 4, 7, 10, 13, 16, 19, 22), "", 0, -1)</f>
        <v/>
      </c>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AJ580" s="2"/>
      <c r="AN580" s="2"/>
      <c r="AO580" s="2"/>
      <c r="AP580" s="4" t="str">
        <f t="array" ref="AP580">XLOOKUP(TRUE, CHOOSECOLS(A580:V580, 1, 4, 7, 10, 13, 16, 19, 22)&lt;&gt;"", CHOOSECOLS(A580:V580, 1, 4, 7, 10, 13, 16, 19, 22), "", 0, -1)</f>
        <v/>
      </c>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AJ581" s="2"/>
      <c r="AN581" s="2"/>
      <c r="AO581" s="2"/>
      <c r="AP581" s="4" t="str">
        <f t="array" ref="AP581">XLOOKUP(TRUE, CHOOSECOLS(A581:V581, 1, 4, 7, 10, 13, 16, 19, 22)&lt;&gt;"", CHOOSECOLS(A581:V581, 1, 4, 7, 10, 13, 16, 19, 22), "", 0, -1)</f>
        <v/>
      </c>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AJ582" s="2"/>
      <c r="AN582" s="2"/>
      <c r="AO582" s="2"/>
      <c r="AP582" s="4" t="str">
        <f t="array" ref="AP582">XLOOKUP(TRUE, CHOOSECOLS(A582:V582, 1, 4, 7, 10, 13, 16, 19, 22)&lt;&gt;"", CHOOSECOLS(A582:V582, 1, 4, 7, 10, 13, 16, 19, 22), "", 0, -1)</f>
        <v/>
      </c>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AJ583" s="2"/>
      <c r="AN583" s="2"/>
      <c r="AO583" s="2"/>
      <c r="AP583" s="4" t="str">
        <f t="array" ref="AP583">XLOOKUP(TRUE, CHOOSECOLS(A583:V583, 1, 4, 7, 10, 13, 16, 19, 22)&lt;&gt;"", CHOOSECOLS(A583:V583, 1, 4, 7, 10, 13, 16, 19, 22), "", 0, -1)</f>
        <v/>
      </c>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AJ584" s="2"/>
      <c r="AN584" s="2"/>
      <c r="AO584" s="2"/>
      <c r="AP584" s="4" t="str">
        <f t="array" ref="AP584">XLOOKUP(TRUE, CHOOSECOLS(A584:V584, 1, 4, 7, 10, 13, 16, 19, 22)&lt;&gt;"", CHOOSECOLS(A584:V584, 1, 4, 7, 10, 13, 16, 19, 22), "", 0, -1)</f>
        <v/>
      </c>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AJ585" s="2"/>
      <c r="AN585" s="2"/>
      <c r="AO585" s="2"/>
      <c r="AP585" s="4" t="str">
        <f t="array" ref="AP585">XLOOKUP(TRUE, CHOOSECOLS(A585:V585, 1, 4, 7, 10, 13, 16, 19, 22)&lt;&gt;"", CHOOSECOLS(A585:V585, 1, 4, 7, 10, 13, 16, 19, 22), "", 0, -1)</f>
        <v/>
      </c>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AJ586" s="2"/>
      <c r="AN586" s="2"/>
      <c r="AO586" s="2"/>
      <c r="AP586" s="4" t="str">
        <f t="array" ref="AP586">XLOOKUP(TRUE, CHOOSECOLS(A586:V586, 1, 4, 7, 10, 13, 16, 19, 22)&lt;&gt;"", CHOOSECOLS(A586:V586, 1, 4, 7, 10, 13, 16, 19, 22), "", 0, -1)</f>
        <v/>
      </c>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AJ587" s="2"/>
      <c r="AN587" s="2"/>
      <c r="AO587" s="2"/>
      <c r="AP587" s="4" t="str">
        <f t="array" ref="AP587">XLOOKUP(TRUE, CHOOSECOLS(A587:V587, 1, 4, 7, 10, 13, 16, 19, 22)&lt;&gt;"", CHOOSECOLS(A587:V587, 1, 4, 7, 10, 13, 16, 19, 22), "", 0, -1)</f>
        <v/>
      </c>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AJ588" s="2"/>
      <c r="AN588" s="2"/>
      <c r="AO588" s="2"/>
      <c r="AP588" s="4" t="str">
        <f t="array" ref="AP588">XLOOKUP(TRUE, CHOOSECOLS(A588:V588, 1, 4, 7, 10, 13, 16, 19, 22)&lt;&gt;"", CHOOSECOLS(A588:V588, 1, 4, 7, 10, 13, 16, 19, 22), "", 0, -1)</f>
        <v/>
      </c>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AJ589" s="2"/>
      <c r="AN589" s="2"/>
      <c r="AO589" s="2"/>
      <c r="AP589" s="4" t="str">
        <f t="array" ref="AP589">XLOOKUP(TRUE, CHOOSECOLS(A589:V589, 1, 4, 7, 10, 13, 16, 19, 22)&lt;&gt;"", CHOOSECOLS(A589:V589, 1, 4, 7, 10, 13, 16, 19, 22), "", 0, -1)</f>
        <v/>
      </c>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AJ590" s="2"/>
      <c r="AN590" s="2"/>
      <c r="AO590" s="2"/>
      <c r="AP590" s="4" t="str">
        <f t="array" ref="AP590">XLOOKUP(TRUE, CHOOSECOLS(A590:V590, 1, 4, 7, 10, 13, 16, 19, 22)&lt;&gt;"", CHOOSECOLS(A590:V590, 1, 4, 7, 10, 13, 16, 19, 22), "", 0, -1)</f>
        <v/>
      </c>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AJ591" s="2"/>
      <c r="AN591" s="2"/>
      <c r="AO591" s="2"/>
      <c r="AP591" s="4" t="str">
        <f t="array" ref="AP591">XLOOKUP(TRUE, CHOOSECOLS(A591:V591, 1, 4, 7, 10, 13, 16, 19, 22)&lt;&gt;"", CHOOSECOLS(A591:V591, 1, 4, 7, 10, 13, 16, 19, 22), "", 0, -1)</f>
        <v/>
      </c>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AJ592" s="2"/>
      <c r="AN592" s="2"/>
      <c r="AO592" s="2"/>
      <c r="AP592" s="4" t="str">
        <f t="array" ref="AP592">XLOOKUP(TRUE, CHOOSECOLS(A592:V592, 1, 4, 7, 10, 13, 16, 19, 22)&lt;&gt;"", CHOOSECOLS(A592:V592, 1, 4, 7, 10, 13, 16, 19, 22), "", 0, -1)</f>
        <v/>
      </c>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AJ593" s="2"/>
      <c r="AN593" s="2"/>
      <c r="AO593" s="2"/>
      <c r="AP593" s="4" t="str">
        <f t="array" ref="AP593">XLOOKUP(TRUE, CHOOSECOLS(A593:V593, 1, 4, 7, 10, 13, 16, 19, 22)&lt;&gt;"", CHOOSECOLS(A593:V593, 1, 4, 7, 10, 13, 16, 19, 22), "", 0, -1)</f>
        <v/>
      </c>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AJ594" s="2"/>
      <c r="AN594" s="2"/>
      <c r="AO594" s="2"/>
      <c r="AP594" s="4" t="str">
        <f t="array" ref="AP594">XLOOKUP(TRUE, CHOOSECOLS(A594:V594, 1, 4, 7, 10, 13, 16, 19, 22)&lt;&gt;"", CHOOSECOLS(A594:V594, 1, 4, 7, 10, 13, 16, 19, 22), "", 0, -1)</f>
        <v/>
      </c>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AJ595" s="2"/>
      <c r="AN595" s="2"/>
      <c r="AO595" s="2"/>
      <c r="AP595" s="4" t="str">
        <f t="array" ref="AP595">XLOOKUP(TRUE, CHOOSECOLS(A595:V595, 1, 4, 7, 10, 13, 16, 19, 22)&lt;&gt;"", CHOOSECOLS(A595:V595, 1, 4, 7, 10, 13, 16, 19, 22), "", 0, -1)</f>
        <v/>
      </c>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AJ596" s="2"/>
      <c r="AN596" s="2"/>
      <c r="AO596" s="2"/>
      <c r="AP596" s="4" t="str">
        <f t="array" ref="AP596">XLOOKUP(TRUE, CHOOSECOLS(A596:V596, 1, 4, 7, 10, 13, 16, 19, 22)&lt;&gt;"", CHOOSECOLS(A596:V596, 1, 4, 7, 10, 13, 16, 19, 22), "", 0, -1)</f>
        <v/>
      </c>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AJ597" s="2"/>
      <c r="AN597" s="2"/>
      <c r="AO597" s="2"/>
      <c r="AP597" s="4" t="str">
        <f t="array" ref="AP597">XLOOKUP(TRUE, CHOOSECOLS(A597:V597, 1, 4, 7, 10, 13, 16, 19, 22)&lt;&gt;"", CHOOSECOLS(A597:V597, 1, 4, 7, 10, 13, 16, 19, 22), "", 0, -1)</f>
        <v/>
      </c>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AJ598" s="2"/>
      <c r="AN598" s="2"/>
      <c r="AO598" s="2"/>
      <c r="AP598" s="4" t="str">
        <f t="array" ref="AP598">XLOOKUP(TRUE, CHOOSECOLS(A598:V598, 1, 4, 7, 10, 13, 16, 19, 22)&lt;&gt;"", CHOOSECOLS(A598:V598, 1, 4, 7, 10, 13, 16, 19, 22), "", 0, -1)</f>
        <v/>
      </c>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AJ599" s="2"/>
      <c r="AN599" s="2"/>
      <c r="AO599" s="2"/>
      <c r="AP599" s="4" t="str">
        <f t="array" ref="AP599">XLOOKUP(TRUE, CHOOSECOLS(A599:V599, 1, 4, 7, 10, 13, 16, 19, 22)&lt;&gt;"", CHOOSECOLS(A599:V599, 1, 4, 7, 10, 13, 16, 19, 22), "", 0, -1)</f>
        <v/>
      </c>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AJ600" s="2"/>
      <c r="AN600" s="2"/>
      <c r="AO600" s="2"/>
      <c r="AP600" s="4" t="str">
        <f t="array" ref="AP600">XLOOKUP(TRUE, CHOOSECOLS(A600:V600, 1, 4, 7, 10, 13, 16, 19, 22)&lt;&gt;"", CHOOSECOLS(A600:V600, 1, 4, 7, 10, 13, 16, 19, 22), "", 0, -1)</f>
        <v/>
      </c>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AJ601" s="2"/>
      <c r="AN601" s="2"/>
      <c r="AO601" s="2"/>
      <c r="AP601" s="4" t="str">
        <f t="array" ref="AP601">XLOOKUP(TRUE, CHOOSECOLS(A601:V601, 1, 4, 7, 10, 13, 16, 19, 22)&lt;&gt;"", CHOOSECOLS(A601:V601, 1, 4, 7, 10, 13, 16, 19, 22), "", 0, -1)</f>
        <v/>
      </c>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AJ602" s="2"/>
      <c r="AN602" s="2"/>
      <c r="AO602" s="2"/>
      <c r="AP602" s="4" t="str">
        <f t="array" ref="AP602">XLOOKUP(TRUE, CHOOSECOLS(A602:V602, 1, 4, 7, 10, 13, 16, 19, 22)&lt;&gt;"", CHOOSECOLS(A602:V602, 1, 4, 7, 10, 13, 16, 19, 22), "", 0, -1)</f>
        <v/>
      </c>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AJ603" s="2"/>
      <c r="AN603" s="2"/>
      <c r="AO603" s="2"/>
      <c r="AP603" s="4" t="str">
        <f t="array" ref="AP603">XLOOKUP(TRUE, CHOOSECOLS(A603:V603, 1, 4, 7, 10, 13, 16, 19, 22)&lt;&gt;"", CHOOSECOLS(A603:V603, 1, 4, 7, 10, 13, 16, 19, 22), "", 0, -1)</f>
        <v/>
      </c>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AJ604" s="2"/>
      <c r="AN604" s="2"/>
      <c r="AO604" s="2"/>
      <c r="AP604" s="4" t="str">
        <f t="array" ref="AP604">XLOOKUP(TRUE, CHOOSECOLS(A604:V604, 1, 4, 7, 10, 13, 16, 19, 22)&lt;&gt;"", CHOOSECOLS(A604:V604, 1, 4, 7, 10, 13, 16, 19, 22), "", 0, -1)</f>
        <v/>
      </c>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AJ605" s="2"/>
      <c r="AN605" s="2"/>
      <c r="AO605" s="2"/>
      <c r="AP605" s="4" t="str">
        <f t="array" ref="AP605">XLOOKUP(TRUE, CHOOSECOLS(A605:V605, 1, 4, 7, 10, 13, 16, 19, 22)&lt;&gt;"", CHOOSECOLS(A605:V605, 1, 4, 7, 10, 13, 16, 19, 22), "", 0, -1)</f>
        <v/>
      </c>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AJ606" s="2"/>
      <c r="AN606" s="2"/>
      <c r="AO606" s="2"/>
      <c r="AP606" s="4" t="str">
        <f t="array" ref="AP606">XLOOKUP(TRUE, CHOOSECOLS(A606:V606, 1, 4, 7, 10, 13, 16, 19, 22)&lt;&gt;"", CHOOSECOLS(A606:V606, 1, 4, 7, 10, 13, 16, 19, 22), "", 0, -1)</f>
        <v/>
      </c>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AJ607" s="2"/>
      <c r="AN607" s="2"/>
      <c r="AO607" s="2"/>
      <c r="AP607" s="4" t="str">
        <f t="array" ref="AP607">XLOOKUP(TRUE, CHOOSECOLS(A607:V607, 1, 4, 7, 10, 13, 16, 19, 22)&lt;&gt;"", CHOOSECOLS(A607:V607, 1, 4, 7, 10, 13, 16, 19, 22), "", 0, -1)</f>
        <v/>
      </c>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AJ608" s="2"/>
      <c r="AN608" s="2"/>
      <c r="AO608" s="2"/>
      <c r="AP608" s="4" t="str">
        <f t="array" ref="AP608">XLOOKUP(TRUE, CHOOSECOLS(A608:V608, 1, 4, 7, 10, 13, 16, 19, 22)&lt;&gt;"", CHOOSECOLS(A608:V608, 1, 4, 7, 10, 13, 16, 19, 22), "", 0, -1)</f>
        <v/>
      </c>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AJ609" s="2"/>
      <c r="AN609" s="2"/>
      <c r="AO609" s="2"/>
      <c r="AP609" s="4" t="str">
        <f t="array" ref="AP609">XLOOKUP(TRUE, CHOOSECOLS(A609:V609, 1, 4, 7, 10, 13, 16, 19, 22)&lt;&gt;"", CHOOSECOLS(A609:V609, 1, 4, 7, 10, 13, 16, 19, 22), "", 0, -1)</f>
        <v/>
      </c>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AJ610" s="2"/>
      <c r="AN610" s="2"/>
      <c r="AO610" s="2"/>
      <c r="AP610" s="4" t="str">
        <f t="array" ref="AP610">XLOOKUP(TRUE, CHOOSECOLS(A610:V610, 1, 4, 7, 10, 13, 16, 19, 22)&lt;&gt;"", CHOOSECOLS(A610:V610, 1, 4, 7, 10, 13, 16, 19, 22), "", 0, -1)</f>
        <v/>
      </c>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AJ611" s="2"/>
      <c r="AN611" s="2"/>
      <c r="AO611" s="2"/>
      <c r="AP611" s="4" t="str">
        <f t="array" ref="AP611">XLOOKUP(TRUE, CHOOSECOLS(A611:V611, 1, 4, 7, 10, 13, 16, 19, 22)&lt;&gt;"", CHOOSECOLS(A611:V611, 1, 4, 7, 10, 13, 16, 19, 22), "", 0, -1)</f>
        <v/>
      </c>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AJ612" s="2"/>
      <c r="AN612" s="2"/>
      <c r="AO612" s="2"/>
      <c r="AP612" s="4" t="str">
        <f t="array" ref="AP612">XLOOKUP(TRUE, CHOOSECOLS(A612:V612, 1, 4, 7, 10, 13, 16, 19, 22)&lt;&gt;"", CHOOSECOLS(A612:V612, 1, 4, 7, 10, 13, 16, 19, 22), "", 0, -1)</f>
        <v/>
      </c>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AJ613" s="2"/>
      <c r="AN613" s="2"/>
      <c r="AO613" s="2"/>
      <c r="AP613" s="4" t="str">
        <f t="array" ref="AP613">XLOOKUP(TRUE, CHOOSECOLS(A613:V613, 1, 4, 7, 10, 13, 16, 19, 22)&lt;&gt;"", CHOOSECOLS(A613:V613, 1, 4, 7, 10, 13, 16, 19, 22), "", 0, -1)</f>
        <v/>
      </c>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AJ614" s="2"/>
      <c r="AN614" s="2"/>
      <c r="AO614" s="2"/>
      <c r="AP614" s="4" t="str">
        <f t="array" ref="AP614">XLOOKUP(TRUE, CHOOSECOLS(A614:V614, 1, 4, 7, 10, 13, 16, 19, 22)&lt;&gt;"", CHOOSECOLS(A614:V614, 1, 4, 7, 10, 13, 16, 19, 22), "", 0, -1)</f>
        <v/>
      </c>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AJ615" s="2"/>
      <c r="AN615" s="2"/>
      <c r="AO615" s="2"/>
      <c r="AP615" s="4" t="str">
        <f t="array" ref="AP615">XLOOKUP(TRUE, CHOOSECOLS(A615:V615, 1, 4, 7, 10, 13, 16, 19, 22)&lt;&gt;"", CHOOSECOLS(A615:V615, 1, 4, 7, 10, 13, 16, 19, 22), "", 0, -1)</f>
        <v/>
      </c>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AJ616" s="2"/>
      <c r="AN616" s="2"/>
      <c r="AO616" s="2"/>
      <c r="AP616" s="4" t="str">
        <f t="array" ref="AP616">XLOOKUP(TRUE, CHOOSECOLS(A616:V616, 1, 4, 7, 10, 13, 16, 19, 22)&lt;&gt;"", CHOOSECOLS(A616:V616, 1, 4, 7, 10, 13, 16, 19, 22), "", 0, -1)</f>
        <v/>
      </c>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AJ617" s="2"/>
      <c r="AN617" s="2"/>
      <c r="AO617" s="2"/>
      <c r="AP617" s="4" t="str">
        <f t="array" ref="AP617">XLOOKUP(TRUE, CHOOSECOLS(A617:V617, 1, 4, 7, 10, 13, 16, 19, 22)&lt;&gt;"", CHOOSECOLS(A617:V617, 1, 4, 7, 10, 13, 16, 19, 22), "", 0, -1)</f>
        <v/>
      </c>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AJ618" s="2"/>
      <c r="AN618" s="2"/>
      <c r="AO618" s="2"/>
      <c r="AP618" s="4" t="str">
        <f t="array" ref="AP618">XLOOKUP(TRUE, CHOOSECOLS(A618:V618, 1, 4, 7, 10, 13, 16, 19, 22)&lt;&gt;"", CHOOSECOLS(A618:V618, 1, 4, 7, 10, 13, 16, 19, 22), "", 0, -1)</f>
        <v/>
      </c>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AJ619" s="2"/>
      <c r="AN619" s="2"/>
      <c r="AO619" s="2"/>
      <c r="AP619" s="4" t="str">
        <f t="array" ref="AP619">XLOOKUP(TRUE, CHOOSECOLS(A619:V619, 1, 4, 7, 10, 13, 16, 19, 22)&lt;&gt;"", CHOOSECOLS(A619:V619, 1, 4, 7, 10, 13, 16, 19, 22), "", 0, -1)</f>
        <v/>
      </c>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AJ620" s="2"/>
      <c r="AN620" s="2"/>
      <c r="AO620" s="2"/>
      <c r="AP620" s="4" t="str">
        <f t="array" ref="AP620">XLOOKUP(TRUE, CHOOSECOLS(A620:V620, 1, 4, 7, 10, 13, 16, 19, 22)&lt;&gt;"", CHOOSECOLS(A620:V620, 1, 4, 7, 10, 13, 16, 19, 22), "", 0, -1)</f>
        <v/>
      </c>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AJ621" s="2"/>
      <c r="AN621" s="2"/>
      <c r="AO621" s="2"/>
      <c r="AP621" s="4" t="str">
        <f t="array" ref="AP621">XLOOKUP(TRUE, CHOOSECOLS(A621:V621, 1, 4, 7, 10, 13, 16, 19, 22)&lt;&gt;"", CHOOSECOLS(A621:V621, 1, 4, 7, 10, 13, 16, 19, 22), "", 0, -1)</f>
        <v/>
      </c>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AJ622" s="2"/>
      <c r="AN622" s="2"/>
      <c r="AO622" s="2"/>
      <c r="AP622" s="4" t="str">
        <f t="array" ref="AP622">XLOOKUP(TRUE, CHOOSECOLS(A622:V622, 1, 4, 7, 10, 13, 16, 19, 22)&lt;&gt;"", CHOOSECOLS(A622:V622, 1, 4, 7, 10, 13, 16, 19, 22), "", 0, -1)</f>
        <v/>
      </c>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AJ623" s="2"/>
      <c r="AN623" s="2"/>
      <c r="AO623" s="2"/>
      <c r="AP623" s="4" t="str">
        <f t="array" ref="AP623">XLOOKUP(TRUE, CHOOSECOLS(A623:V623, 1, 4, 7, 10, 13, 16, 19, 22)&lt;&gt;"", CHOOSECOLS(A623:V623, 1, 4, 7, 10, 13, 16, 19, 22), "", 0, -1)</f>
        <v/>
      </c>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AJ624" s="2"/>
      <c r="AN624" s="2"/>
      <c r="AO624" s="2"/>
      <c r="AP624" s="4" t="str">
        <f t="array" ref="AP624">XLOOKUP(TRUE, CHOOSECOLS(A624:V624, 1, 4, 7, 10, 13, 16, 19, 22)&lt;&gt;"", CHOOSECOLS(A624:V624, 1, 4, 7, 10, 13, 16, 19, 22), "", 0, -1)</f>
        <v/>
      </c>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AJ625" s="2"/>
      <c r="AN625" s="2"/>
      <c r="AO625" s="2"/>
      <c r="AP625" s="4" t="str">
        <f t="array" ref="AP625">XLOOKUP(TRUE, CHOOSECOLS(A625:V625, 1, 4, 7, 10, 13, 16, 19, 22)&lt;&gt;"", CHOOSECOLS(A625:V625, 1, 4, 7, 10, 13, 16, 19, 22), "", 0, -1)</f>
        <v/>
      </c>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AJ626" s="2"/>
      <c r="AN626" s="2"/>
      <c r="AO626" s="2"/>
      <c r="AP626" s="4" t="str">
        <f t="array" ref="AP626">XLOOKUP(TRUE, CHOOSECOLS(A626:V626, 1, 4, 7, 10, 13, 16, 19, 22)&lt;&gt;"", CHOOSECOLS(A626:V626, 1, 4, 7, 10, 13, 16, 19, 22), "", 0, -1)</f>
        <v/>
      </c>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AJ627" s="2"/>
      <c r="AN627" s="2"/>
      <c r="AO627" s="2"/>
      <c r="AP627" s="4" t="str">
        <f t="array" ref="AP627">XLOOKUP(TRUE, CHOOSECOLS(A627:V627, 1, 4, 7, 10, 13, 16, 19, 22)&lt;&gt;"", CHOOSECOLS(A627:V627, 1, 4, 7, 10, 13, 16, 19, 22), "", 0, -1)</f>
        <v/>
      </c>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AJ628" s="2"/>
      <c r="AN628" s="2"/>
      <c r="AO628" s="2"/>
      <c r="AP628" s="4" t="str">
        <f t="array" ref="AP628">XLOOKUP(TRUE, CHOOSECOLS(A628:V628, 1, 4, 7, 10, 13, 16, 19, 22)&lt;&gt;"", CHOOSECOLS(A628:V628, 1, 4, 7, 10, 13, 16, 19, 22), "", 0, -1)</f>
        <v/>
      </c>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AJ629" s="2"/>
      <c r="AN629" s="2"/>
      <c r="AO629" s="2"/>
      <c r="AP629" s="4" t="str">
        <f t="array" ref="AP629">XLOOKUP(TRUE, CHOOSECOLS(A629:V629, 1, 4, 7, 10, 13, 16, 19, 22)&lt;&gt;"", CHOOSECOLS(A629:V629, 1, 4, 7, 10, 13, 16, 19, 22), "", 0, -1)</f>
        <v/>
      </c>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AJ630" s="2"/>
      <c r="AN630" s="2"/>
      <c r="AO630" s="2"/>
      <c r="AP630" s="4" t="str">
        <f t="array" ref="AP630">XLOOKUP(TRUE, CHOOSECOLS(A630:V630, 1, 4, 7, 10, 13, 16, 19, 22)&lt;&gt;"", CHOOSECOLS(A630:V630, 1, 4, 7, 10, 13, 16, 19, 22), "", 0, -1)</f>
        <v/>
      </c>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AJ631" s="2"/>
      <c r="AN631" s="2"/>
      <c r="AO631" s="2"/>
      <c r="AP631" s="4" t="str">
        <f t="array" ref="AP631">XLOOKUP(TRUE, CHOOSECOLS(A631:V631, 1, 4, 7, 10, 13, 16, 19, 22)&lt;&gt;"", CHOOSECOLS(A631:V631, 1, 4, 7, 10, 13, 16, 19, 22), "", 0, -1)</f>
        <v/>
      </c>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AJ632" s="2"/>
      <c r="AN632" s="2"/>
      <c r="AO632" s="2"/>
      <c r="AP632" s="4" t="str">
        <f t="array" ref="AP632">XLOOKUP(TRUE, CHOOSECOLS(A632:V632, 1, 4, 7, 10, 13, 16, 19, 22)&lt;&gt;"", CHOOSECOLS(A632:V632, 1, 4, 7, 10, 13, 16, 19, 22), "", 0, -1)</f>
        <v/>
      </c>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AJ633" s="2"/>
      <c r="AN633" s="2"/>
      <c r="AO633" s="2"/>
      <c r="AP633" s="4" t="str">
        <f t="array" ref="AP633">XLOOKUP(TRUE, CHOOSECOLS(A633:V633, 1, 4, 7, 10, 13, 16, 19, 22)&lt;&gt;"", CHOOSECOLS(A633:V633, 1, 4, 7, 10, 13, 16, 19, 22), "", 0, -1)</f>
        <v/>
      </c>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AJ634" s="2"/>
      <c r="AN634" s="2"/>
      <c r="AO634" s="2"/>
      <c r="AP634" s="4" t="str">
        <f t="array" ref="AP634">XLOOKUP(TRUE, CHOOSECOLS(A634:V634, 1, 4, 7, 10, 13, 16, 19, 22)&lt;&gt;"", CHOOSECOLS(A634:V634, 1, 4, 7, 10, 13, 16, 19, 22), "", 0, -1)</f>
        <v/>
      </c>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AJ635" s="2"/>
      <c r="AN635" s="2"/>
      <c r="AO635" s="2"/>
      <c r="AP635" s="4" t="str">
        <f t="array" ref="AP635">XLOOKUP(TRUE, CHOOSECOLS(A635:V635, 1, 4, 7, 10, 13, 16, 19, 22)&lt;&gt;"", CHOOSECOLS(A635:V635, 1, 4, 7, 10, 13, 16, 19, 22), "", 0, -1)</f>
        <v/>
      </c>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AJ636" s="2"/>
      <c r="AN636" s="2"/>
      <c r="AO636" s="2"/>
      <c r="AP636" s="4" t="str">
        <f t="array" ref="AP636">XLOOKUP(TRUE, CHOOSECOLS(A636:V636, 1, 4, 7, 10, 13, 16, 19, 22)&lt;&gt;"", CHOOSECOLS(A636:V636, 1, 4, 7, 10, 13, 16, 19, 22), "", 0, -1)</f>
        <v/>
      </c>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AJ637" s="2"/>
      <c r="AN637" s="2"/>
      <c r="AO637" s="2"/>
      <c r="AP637" s="4" t="str">
        <f t="array" ref="AP637">XLOOKUP(TRUE, CHOOSECOLS(A637:V637, 1, 4, 7, 10, 13, 16, 19, 22)&lt;&gt;"", CHOOSECOLS(A637:V637, 1, 4, 7, 10, 13, 16, 19, 22), "", 0, -1)</f>
        <v/>
      </c>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AJ638" s="2"/>
      <c r="AN638" s="2"/>
      <c r="AO638" s="2"/>
      <c r="AP638" s="4" t="str">
        <f t="array" ref="AP638">XLOOKUP(TRUE, CHOOSECOLS(A638:V638, 1, 4, 7, 10, 13, 16, 19, 22)&lt;&gt;"", CHOOSECOLS(A638:V638, 1, 4, 7, 10, 13, 16, 19, 22), "", 0, -1)</f>
        <v/>
      </c>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AJ639" s="2"/>
      <c r="AN639" s="2"/>
      <c r="AO639" s="2"/>
      <c r="AP639" s="4" t="str">
        <f t="array" ref="AP639">XLOOKUP(TRUE, CHOOSECOLS(A639:V639, 1, 4, 7, 10, 13, 16, 19, 22)&lt;&gt;"", CHOOSECOLS(A639:V639, 1, 4, 7, 10, 13, 16, 19, 22), "", 0, -1)</f>
        <v/>
      </c>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AJ640" s="2"/>
      <c r="AN640" s="2"/>
      <c r="AO640" s="2"/>
      <c r="AP640" s="4" t="str">
        <f t="array" ref="AP640">XLOOKUP(TRUE, CHOOSECOLS(A640:V640, 1, 4, 7, 10, 13, 16, 19, 22)&lt;&gt;"", CHOOSECOLS(A640:V640, 1, 4, 7, 10, 13, 16, 19, 22), "", 0, -1)</f>
        <v/>
      </c>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AJ641" s="2"/>
      <c r="AN641" s="2"/>
      <c r="AO641" s="2"/>
      <c r="AP641" s="4" t="str">
        <f t="array" ref="AP641">XLOOKUP(TRUE, CHOOSECOLS(A641:V641, 1, 4, 7, 10, 13, 16, 19, 22)&lt;&gt;"", CHOOSECOLS(A641:V641, 1, 4, 7, 10, 13, 16, 19, 22), "", 0, -1)</f>
        <v/>
      </c>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AJ642" s="2"/>
      <c r="AN642" s="2"/>
      <c r="AO642" s="2"/>
      <c r="AP642" s="4" t="str">
        <f t="array" ref="AP642">XLOOKUP(TRUE, CHOOSECOLS(A642:V642, 1, 4, 7, 10, 13, 16, 19, 22)&lt;&gt;"", CHOOSECOLS(A642:V642, 1, 4, 7, 10, 13, 16, 19, 22), "", 0, -1)</f>
        <v/>
      </c>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AJ643" s="2"/>
      <c r="AN643" s="2"/>
      <c r="AO643" s="2"/>
      <c r="AP643" s="4" t="str">
        <f t="array" ref="AP643">XLOOKUP(TRUE, CHOOSECOLS(A643:V643, 1, 4, 7, 10, 13, 16, 19, 22)&lt;&gt;"", CHOOSECOLS(A643:V643, 1, 4, 7, 10, 13, 16, 19, 22), "", 0, -1)</f>
        <v/>
      </c>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AJ644" s="2"/>
      <c r="AN644" s="2"/>
      <c r="AO644" s="2"/>
      <c r="AP644" s="4" t="str">
        <f t="array" ref="AP644">XLOOKUP(TRUE, CHOOSECOLS(A644:V644, 1, 4, 7, 10, 13, 16, 19, 22)&lt;&gt;"", CHOOSECOLS(A644:V644, 1, 4, 7, 10, 13, 16, 19, 22), "", 0, -1)</f>
        <v/>
      </c>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AJ645" s="2"/>
      <c r="AN645" s="2"/>
      <c r="AO645" s="2"/>
      <c r="AP645" s="4" t="str">
        <f t="array" ref="AP645">XLOOKUP(TRUE, CHOOSECOLS(A645:V645, 1, 4, 7, 10, 13, 16, 19, 22)&lt;&gt;"", CHOOSECOLS(A645:V645, 1, 4, 7, 10, 13, 16, 19, 22), "", 0, -1)</f>
        <v/>
      </c>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AJ646" s="2"/>
      <c r="AN646" s="2"/>
      <c r="AO646" s="2"/>
      <c r="AP646" s="4" t="str">
        <f t="array" ref="AP646">XLOOKUP(TRUE, CHOOSECOLS(A646:V646, 1, 4, 7, 10, 13, 16, 19, 22)&lt;&gt;"", CHOOSECOLS(A646:V646, 1, 4, 7, 10, 13, 16, 19, 22), "", 0, -1)</f>
        <v/>
      </c>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AJ647" s="2"/>
      <c r="AN647" s="2"/>
      <c r="AO647" s="2"/>
      <c r="AP647" s="4" t="str">
        <f t="array" ref="AP647">XLOOKUP(TRUE, CHOOSECOLS(A647:V647, 1, 4, 7, 10, 13, 16, 19, 22)&lt;&gt;"", CHOOSECOLS(A647:V647, 1, 4, 7, 10, 13, 16, 19, 22), "", 0, -1)</f>
        <v/>
      </c>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AJ648" s="2"/>
      <c r="AN648" s="2"/>
      <c r="AO648" s="2"/>
      <c r="AP648" s="4" t="str">
        <f t="array" ref="AP648">XLOOKUP(TRUE, CHOOSECOLS(A648:V648, 1, 4, 7, 10, 13, 16, 19, 22)&lt;&gt;"", CHOOSECOLS(A648:V648, 1, 4, 7, 10, 13, 16, 19, 22), "", 0, -1)</f>
        <v/>
      </c>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AJ649" s="2"/>
      <c r="AN649" s="2"/>
      <c r="AO649" s="2"/>
      <c r="AP649" s="4" t="str">
        <f t="array" ref="AP649">XLOOKUP(TRUE, CHOOSECOLS(A649:V649, 1, 4, 7, 10, 13, 16, 19, 22)&lt;&gt;"", CHOOSECOLS(A649:V649, 1, 4, 7, 10, 13, 16, 19, 22), "", 0, -1)</f>
        <v/>
      </c>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AJ650" s="2"/>
      <c r="AN650" s="2"/>
      <c r="AO650" s="2"/>
      <c r="AP650" s="4" t="str">
        <f t="array" ref="AP650">XLOOKUP(TRUE, CHOOSECOLS(A650:V650, 1, 4, 7, 10, 13, 16, 19, 22)&lt;&gt;"", CHOOSECOLS(A650:V650, 1, 4, 7, 10, 13, 16, 19, 22), "", 0, -1)</f>
        <v/>
      </c>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AJ651" s="2"/>
      <c r="AN651" s="2"/>
      <c r="AO651" s="2"/>
      <c r="AP651" s="4" t="str">
        <f t="array" ref="AP651">XLOOKUP(TRUE, CHOOSECOLS(A651:V651, 1, 4, 7, 10, 13, 16, 19, 22)&lt;&gt;"", CHOOSECOLS(A651:V651, 1, 4, 7, 10, 13, 16, 19, 22), "", 0, -1)</f>
        <v/>
      </c>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AJ652" s="2"/>
      <c r="AN652" s="2"/>
      <c r="AO652" s="2"/>
      <c r="AP652" s="4" t="str">
        <f t="array" ref="AP652">XLOOKUP(TRUE, CHOOSECOLS(A652:V652, 1, 4, 7, 10, 13, 16, 19, 22)&lt;&gt;"", CHOOSECOLS(A652:V652, 1, 4, 7, 10, 13, 16, 19, 22), "", 0, -1)</f>
        <v/>
      </c>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AJ653" s="2"/>
      <c r="AN653" s="2"/>
      <c r="AO653" s="2"/>
      <c r="AP653" s="4" t="str">
        <f t="array" ref="AP653">XLOOKUP(TRUE, CHOOSECOLS(A653:V653, 1, 4, 7, 10, 13, 16, 19, 22)&lt;&gt;"", CHOOSECOLS(A653:V653, 1, 4, 7, 10, 13, 16, 19, 22), "", 0, -1)</f>
        <v/>
      </c>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AJ654" s="2"/>
      <c r="AN654" s="2"/>
      <c r="AO654" s="2"/>
      <c r="AP654" s="4" t="str">
        <f t="array" ref="AP654">XLOOKUP(TRUE, CHOOSECOLS(A654:V654, 1, 4, 7, 10, 13, 16, 19, 22)&lt;&gt;"", CHOOSECOLS(A654:V654, 1, 4, 7, 10, 13, 16, 19, 22), "", 0, -1)</f>
        <v/>
      </c>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AJ655" s="2"/>
      <c r="AN655" s="2"/>
      <c r="AO655" s="2"/>
      <c r="AP655" s="4" t="str">
        <f t="array" ref="AP655">XLOOKUP(TRUE, CHOOSECOLS(A655:V655, 1, 4, 7, 10, 13, 16, 19, 22)&lt;&gt;"", CHOOSECOLS(A655:V655, 1, 4, 7, 10, 13, 16, 19, 22), "", 0, -1)</f>
        <v/>
      </c>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AJ656" s="2"/>
      <c r="AN656" s="2"/>
      <c r="AO656" s="2"/>
      <c r="AP656" s="4" t="str">
        <f t="array" ref="AP656">XLOOKUP(TRUE, CHOOSECOLS(A656:V656, 1, 4, 7, 10, 13, 16, 19, 22)&lt;&gt;"", CHOOSECOLS(A656:V656, 1, 4, 7, 10, 13, 16, 19, 22), "", 0, -1)</f>
        <v/>
      </c>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AJ657" s="2"/>
      <c r="AN657" s="2"/>
      <c r="AO657" s="2"/>
      <c r="AP657" s="4" t="str">
        <f t="array" ref="AP657">XLOOKUP(TRUE, CHOOSECOLS(A657:V657, 1, 4, 7, 10, 13, 16, 19, 22)&lt;&gt;"", CHOOSECOLS(A657:V657, 1, 4, 7, 10, 13, 16, 19, 22), "", 0, -1)</f>
        <v/>
      </c>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AJ658" s="2"/>
      <c r="AN658" s="2"/>
      <c r="AO658" s="2"/>
      <c r="AP658" s="4" t="str">
        <f t="array" ref="AP658">XLOOKUP(TRUE, CHOOSECOLS(A658:V658, 1, 4, 7, 10, 13, 16, 19, 22)&lt;&gt;"", CHOOSECOLS(A658:V658, 1, 4, 7, 10, 13, 16, 19, 22), "", 0, -1)</f>
        <v/>
      </c>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AJ659" s="2"/>
      <c r="AN659" s="2"/>
      <c r="AO659" s="2"/>
      <c r="AP659" s="4" t="str">
        <f t="array" ref="AP659">XLOOKUP(TRUE, CHOOSECOLS(A659:V659, 1, 4, 7, 10, 13, 16, 19, 22)&lt;&gt;"", CHOOSECOLS(A659:V659, 1, 4, 7, 10, 13, 16, 19, 22), "", 0, -1)</f>
        <v/>
      </c>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AJ660" s="2"/>
      <c r="AN660" s="2"/>
      <c r="AO660" s="2"/>
      <c r="AP660" s="4" t="str">
        <f t="array" ref="AP660">XLOOKUP(TRUE, CHOOSECOLS(A660:V660, 1, 4, 7, 10, 13, 16, 19, 22)&lt;&gt;"", CHOOSECOLS(A660:V660, 1, 4, 7, 10, 13, 16, 19, 22), "", 0, -1)</f>
        <v/>
      </c>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AJ661" s="2"/>
      <c r="AN661" s="2"/>
      <c r="AO661" s="2"/>
      <c r="AP661" s="4" t="str">
        <f t="array" ref="AP661">XLOOKUP(TRUE, CHOOSECOLS(A661:V661, 1, 4, 7, 10, 13, 16, 19, 22)&lt;&gt;"", CHOOSECOLS(A661:V661, 1, 4, 7, 10, 13, 16, 19, 22), "", 0, -1)</f>
        <v/>
      </c>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AJ662" s="2"/>
      <c r="AN662" s="2"/>
      <c r="AO662" s="2"/>
      <c r="AP662" s="4" t="str">
        <f t="array" ref="AP662">XLOOKUP(TRUE, CHOOSECOLS(A662:V662, 1, 4, 7, 10, 13, 16, 19, 22)&lt;&gt;"", CHOOSECOLS(A662:V662, 1, 4, 7, 10, 13, 16, 19, 22), "", 0, -1)</f>
        <v/>
      </c>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AJ663" s="2"/>
      <c r="AN663" s="2"/>
      <c r="AO663" s="2"/>
      <c r="AP663" s="4" t="str">
        <f t="array" ref="AP663">XLOOKUP(TRUE, CHOOSECOLS(A663:V663, 1, 4, 7, 10, 13, 16, 19, 22)&lt;&gt;"", CHOOSECOLS(A663:V663, 1, 4, 7, 10, 13, 16, 19, 22), "", 0, -1)</f>
        <v/>
      </c>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AJ664" s="2"/>
      <c r="AN664" s="2"/>
      <c r="AO664" s="2"/>
      <c r="AP664" s="4" t="str">
        <f t="array" ref="AP664">XLOOKUP(TRUE, CHOOSECOLS(A664:V664, 1, 4, 7, 10, 13, 16, 19, 22)&lt;&gt;"", CHOOSECOLS(A664:V664, 1, 4, 7, 10, 13, 16, 19, 22), "", 0, -1)</f>
        <v/>
      </c>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AJ665" s="2"/>
      <c r="AN665" s="2"/>
      <c r="AO665" s="2"/>
      <c r="AP665" s="4" t="str">
        <f t="array" ref="AP665">XLOOKUP(TRUE, CHOOSECOLS(A665:V665, 1, 4, 7, 10, 13, 16, 19, 22)&lt;&gt;"", CHOOSECOLS(A665:V665, 1, 4, 7, 10, 13, 16, 19, 22), "", 0, -1)</f>
        <v/>
      </c>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AJ666" s="2"/>
      <c r="AN666" s="2"/>
      <c r="AO666" s="2"/>
      <c r="AP666" s="4" t="str">
        <f t="array" ref="AP666">XLOOKUP(TRUE, CHOOSECOLS(A666:V666, 1, 4, 7, 10, 13, 16, 19, 22)&lt;&gt;"", CHOOSECOLS(A666:V666, 1, 4, 7, 10, 13, 16, 19, 22), "", 0, -1)</f>
        <v/>
      </c>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AJ667" s="2"/>
      <c r="AN667" s="2"/>
      <c r="AO667" s="2"/>
      <c r="AP667" s="4" t="str">
        <f t="array" ref="AP667">XLOOKUP(TRUE, CHOOSECOLS(A667:V667, 1, 4, 7, 10, 13, 16, 19, 22)&lt;&gt;"", CHOOSECOLS(A667:V667, 1, 4, 7, 10, 13, 16, 19, 22), "", 0, -1)</f>
        <v/>
      </c>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AJ668" s="2"/>
      <c r="AN668" s="2"/>
      <c r="AO668" s="2"/>
      <c r="AP668" s="4" t="str">
        <f t="array" ref="AP668">XLOOKUP(TRUE, CHOOSECOLS(A668:V668, 1, 4, 7, 10, 13, 16, 19, 22)&lt;&gt;"", CHOOSECOLS(A668:V668, 1, 4, 7, 10, 13, 16, 19, 22), "", 0, -1)</f>
        <v/>
      </c>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AJ669" s="2"/>
      <c r="AN669" s="2"/>
      <c r="AO669" s="2"/>
      <c r="AP669" s="4" t="str">
        <f t="array" ref="AP669">XLOOKUP(TRUE, CHOOSECOLS(A669:V669, 1, 4, 7, 10, 13, 16, 19, 22)&lt;&gt;"", CHOOSECOLS(A669:V669, 1, 4, 7, 10, 13, 16, 19, 22), "", 0, -1)</f>
        <v/>
      </c>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AJ670" s="2"/>
      <c r="AN670" s="2"/>
      <c r="AO670" s="2"/>
      <c r="AP670" s="4" t="str">
        <f t="array" ref="AP670">XLOOKUP(TRUE, CHOOSECOLS(A670:V670, 1, 4, 7, 10, 13, 16, 19, 22)&lt;&gt;"", CHOOSECOLS(A670:V670, 1, 4, 7, 10, 13, 16, 19, 22), "", 0, -1)</f>
        <v/>
      </c>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AJ671" s="2"/>
      <c r="AN671" s="2"/>
      <c r="AO671" s="2"/>
      <c r="AP671" s="4" t="str">
        <f t="array" ref="AP671">XLOOKUP(TRUE, CHOOSECOLS(A671:V671, 1, 4, 7, 10, 13, 16, 19, 22)&lt;&gt;"", CHOOSECOLS(A671:V671, 1, 4, 7, 10, 13, 16, 19, 22), "", 0, -1)</f>
        <v/>
      </c>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AJ672" s="2"/>
      <c r="AN672" s="2"/>
      <c r="AO672" s="2"/>
      <c r="AP672" s="4" t="str">
        <f t="array" ref="AP672">XLOOKUP(TRUE, CHOOSECOLS(A672:V672, 1, 4, 7, 10, 13, 16, 19, 22)&lt;&gt;"", CHOOSECOLS(A672:V672, 1, 4, 7, 10, 13, 16, 19, 22), "", 0, -1)</f>
        <v/>
      </c>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AJ673" s="2"/>
      <c r="AN673" s="2"/>
      <c r="AO673" s="2"/>
      <c r="AP673" s="4" t="str">
        <f t="array" ref="AP673">XLOOKUP(TRUE, CHOOSECOLS(A673:V673, 1, 4, 7, 10, 13, 16, 19, 22)&lt;&gt;"", CHOOSECOLS(A673:V673, 1, 4, 7, 10, 13, 16, 19, 22), "", 0, -1)</f>
        <v/>
      </c>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AJ674" s="2"/>
      <c r="AN674" s="2"/>
      <c r="AO674" s="2"/>
      <c r="AP674" s="4" t="str">
        <f t="array" ref="AP674">XLOOKUP(TRUE, CHOOSECOLS(A674:V674, 1, 4, 7, 10, 13, 16, 19, 22)&lt;&gt;"", CHOOSECOLS(A674:V674, 1, 4, 7, 10, 13, 16, 19, 22), "", 0, -1)</f>
        <v/>
      </c>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AJ675" s="2"/>
      <c r="AN675" s="2"/>
      <c r="AO675" s="2"/>
      <c r="AP675" s="4" t="str">
        <f t="array" ref="AP675">XLOOKUP(TRUE, CHOOSECOLS(A675:V675, 1, 4, 7, 10, 13, 16, 19, 22)&lt;&gt;"", CHOOSECOLS(A675:V675, 1, 4, 7, 10, 13, 16, 19, 22), "", 0, -1)</f>
        <v/>
      </c>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AJ676" s="2"/>
      <c r="AN676" s="2"/>
      <c r="AO676" s="2"/>
      <c r="AP676" s="4" t="str">
        <f t="array" ref="AP676">XLOOKUP(TRUE, CHOOSECOLS(A676:V676, 1, 4, 7, 10, 13, 16, 19, 22)&lt;&gt;"", CHOOSECOLS(A676:V676, 1, 4, 7, 10, 13, 16, 19, 22), "", 0, -1)</f>
        <v/>
      </c>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AJ677" s="2"/>
      <c r="AN677" s="2"/>
      <c r="AO677" s="2"/>
      <c r="AP677" s="4" t="str">
        <f t="array" ref="AP677">XLOOKUP(TRUE, CHOOSECOLS(A677:V677, 1, 4, 7, 10, 13, 16, 19, 22)&lt;&gt;"", CHOOSECOLS(A677:V677, 1, 4, 7, 10, 13, 16, 19, 22), "", 0, -1)</f>
        <v/>
      </c>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AJ678" s="2"/>
      <c r="AN678" s="2"/>
      <c r="AO678" s="2"/>
      <c r="AP678" s="4" t="str">
        <f t="array" ref="AP678">XLOOKUP(TRUE, CHOOSECOLS(A678:V678, 1, 4, 7, 10, 13, 16, 19, 22)&lt;&gt;"", CHOOSECOLS(A678:V678, 1, 4, 7, 10, 13, 16, 19, 22), "", 0, -1)</f>
        <v/>
      </c>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AJ679" s="2"/>
      <c r="AN679" s="2"/>
      <c r="AO679" s="2"/>
      <c r="AP679" s="4" t="str">
        <f t="array" ref="AP679">XLOOKUP(TRUE, CHOOSECOLS(A679:V679, 1, 4, 7, 10, 13, 16, 19, 22)&lt;&gt;"", CHOOSECOLS(A679:V679, 1, 4, 7, 10, 13, 16, 19, 22), "", 0, -1)</f>
        <v/>
      </c>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AJ680" s="2"/>
      <c r="AN680" s="2"/>
      <c r="AO680" s="2"/>
      <c r="AP680" s="4" t="str">
        <f t="array" ref="AP680">XLOOKUP(TRUE, CHOOSECOLS(A680:V680, 1, 4, 7, 10, 13, 16, 19, 22)&lt;&gt;"", CHOOSECOLS(A680:V680, 1, 4, 7, 10, 13, 16, 19, 22), "", 0, -1)</f>
        <v/>
      </c>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AJ681" s="2"/>
      <c r="AN681" s="2"/>
      <c r="AO681" s="2"/>
      <c r="AP681" s="4" t="str">
        <f t="array" ref="AP681">XLOOKUP(TRUE, CHOOSECOLS(A681:V681, 1, 4, 7, 10, 13, 16, 19, 22)&lt;&gt;"", CHOOSECOLS(A681:V681, 1, 4, 7, 10, 13, 16, 19, 22), "", 0, -1)</f>
        <v/>
      </c>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AJ682" s="2"/>
      <c r="AN682" s="2"/>
      <c r="AO682" s="2"/>
      <c r="AP682" s="4" t="str">
        <f t="array" ref="AP682">XLOOKUP(TRUE, CHOOSECOLS(A682:V682, 1, 4, 7, 10, 13, 16, 19, 22)&lt;&gt;"", CHOOSECOLS(A682:V682, 1, 4, 7, 10, 13, 16, 19, 22), "", 0, -1)</f>
        <v/>
      </c>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AJ683" s="2"/>
      <c r="AN683" s="2"/>
      <c r="AO683" s="2"/>
      <c r="AP683" s="4" t="str">
        <f t="array" ref="AP683">XLOOKUP(TRUE, CHOOSECOLS(A683:V683, 1, 4, 7, 10, 13, 16, 19, 22)&lt;&gt;"", CHOOSECOLS(A683:V683, 1, 4, 7, 10, 13, 16, 19, 22), "", 0, -1)</f>
        <v/>
      </c>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AJ684" s="2"/>
      <c r="AN684" s="2"/>
      <c r="AO684" s="2"/>
      <c r="AP684" s="4" t="str">
        <f t="array" ref="AP684">XLOOKUP(TRUE, CHOOSECOLS(A684:V684, 1, 4, 7, 10, 13, 16, 19, 22)&lt;&gt;"", CHOOSECOLS(A684:V684, 1, 4, 7, 10, 13, 16, 19, 22), "", 0, -1)</f>
        <v/>
      </c>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AJ685" s="2"/>
      <c r="AN685" s="2"/>
      <c r="AO685" s="2"/>
      <c r="AP685" s="4" t="str">
        <f t="array" ref="AP685">XLOOKUP(TRUE, CHOOSECOLS(A685:V685, 1, 4, 7, 10, 13, 16, 19, 22)&lt;&gt;"", CHOOSECOLS(A685:V685, 1, 4, 7, 10, 13, 16, 19, 22), "", 0, -1)</f>
        <v/>
      </c>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AJ686" s="2"/>
      <c r="AN686" s="2"/>
      <c r="AO686" s="2"/>
      <c r="AP686" s="4" t="str">
        <f t="array" ref="AP686">XLOOKUP(TRUE, CHOOSECOLS(A686:V686, 1, 4, 7, 10, 13, 16, 19, 22)&lt;&gt;"", CHOOSECOLS(A686:V686, 1, 4, 7, 10, 13, 16, 19, 22), "", 0, -1)</f>
        <v/>
      </c>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AJ687" s="2"/>
      <c r="AN687" s="2"/>
      <c r="AO687" s="2"/>
      <c r="AP687" s="4" t="str">
        <f t="array" ref="AP687">XLOOKUP(TRUE, CHOOSECOLS(A687:V687, 1, 4, 7, 10, 13, 16, 19, 22)&lt;&gt;"", CHOOSECOLS(A687:V687, 1, 4, 7, 10, 13, 16, 19, 22), "", 0, -1)</f>
        <v/>
      </c>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AJ688" s="2"/>
      <c r="AN688" s="2"/>
      <c r="AO688" s="2"/>
      <c r="AP688" s="4" t="str">
        <f t="array" ref="AP688">XLOOKUP(TRUE, CHOOSECOLS(A688:V688, 1, 4, 7, 10, 13, 16, 19, 22)&lt;&gt;"", CHOOSECOLS(A688:V688, 1, 4, 7, 10, 13, 16, 19, 22), "", 0, -1)</f>
        <v/>
      </c>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AJ689" s="2"/>
      <c r="AN689" s="2"/>
      <c r="AO689" s="2"/>
      <c r="AP689" s="4" t="str">
        <f t="array" ref="AP689">XLOOKUP(TRUE, CHOOSECOLS(A689:V689, 1, 4, 7, 10, 13, 16, 19, 22)&lt;&gt;"", CHOOSECOLS(A689:V689, 1, 4, 7, 10, 13, 16, 19, 22), "", 0, -1)</f>
        <v/>
      </c>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AJ690" s="2"/>
      <c r="AN690" s="2"/>
      <c r="AO690" s="2"/>
      <c r="AP690" s="4" t="str">
        <f t="array" ref="AP690">XLOOKUP(TRUE, CHOOSECOLS(A690:V690, 1, 4, 7, 10, 13, 16, 19, 22)&lt;&gt;"", CHOOSECOLS(A690:V690, 1, 4, 7, 10, 13, 16, 19, 22), "", 0, -1)</f>
        <v/>
      </c>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AJ691" s="2"/>
      <c r="AN691" s="2"/>
      <c r="AO691" s="2"/>
      <c r="AP691" s="4" t="str">
        <f t="array" ref="AP691">XLOOKUP(TRUE, CHOOSECOLS(A691:V691, 1, 4, 7, 10, 13, 16, 19, 22)&lt;&gt;"", CHOOSECOLS(A691:V691, 1, 4, 7, 10, 13, 16, 19, 22), "", 0, -1)</f>
        <v/>
      </c>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AJ692" s="2"/>
      <c r="AN692" s="2"/>
      <c r="AO692" s="2"/>
      <c r="AP692" s="4" t="str">
        <f t="array" ref="AP692">XLOOKUP(TRUE, CHOOSECOLS(A692:V692, 1, 4, 7, 10, 13, 16, 19, 22)&lt;&gt;"", CHOOSECOLS(A692:V692, 1, 4, 7, 10, 13, 16, 19, 22), "", 0, -1)</f>
        <v/>
      </c>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AJ693" s="2"/>
      <c r="AN693" s="2"/>
      <c r="AO693" s="2"/>
      <c r="AP693" s="4" t="str">
        <f t="array" ref="AP693">XLOOKUP(TRUE, CHOOSECOLS(A693:V693, 1, 4, 7, 10, 13, 16, 19, 22)&lt;&gt;"", CHOOSECOLS(A693:V693, 1, 4, 7, 10, 13, 16, 19, 22), "", 0, -1)</f>
        <v/>
      </c>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AJ694" s="2"/>
      <c r="AN694" s="2"/>
      <c r="AO694" s="2"/>
      <c r="AP694" s="4" t="str">
        <f t="array" ref="AP694">XLOOKUP(TRUE, CHOOSECOLS(A694:V694, 1, 4, 7, 10, 13, 16, 19, 22)&lt;&gt;"", CHOOSECOLS(A694:V694, 1, 4, 7, 10, 13, 16, 19, 22), "", 0, -1)</f>
        <v/>
      </c>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AJ695" s="2"/>
      <c r="AN695" s="2"/>
      <c r="AO695" s="2"/>
      <c r="AP695" s="4" t="str">
        <f t="array" ref="AP695">XLOOKUP(TRUE, CHOOSECOLS(A695:V695, 1, 4, 7, 10, 13, 16, 19, 22)&lt;&gt;"", CHOOSECOLS(A695:V695, 1, 4, 7, 10, 13, 16, 19, 22), "", 0, -1)</f>
        <v/>
      </c>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AJ696" s="2"/>
      <c r="AN696" s="2"/>
      <c r="AO696" s="2"/>
      <c r="AP696" s="4" t="str">
        <f t="array" ref="AP696">XLOOKUP(TRUE, CHOOSECOLS(A696:V696, 1, 4, 7, 10, 13, 16, 19, 22)&lt;&gt;"", CHOOSECOLS(A696:V696, 1, 4, 7, 10, 13, 16, 19, 22), "", 0, -1)</f>
        <v/>
      </c>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AJ697" s="2"/>
      <c r="AN697" s="2"/>
      <c r="AO697" s="2"/>
      <c r="AP697" s="4" t="str">
        <f t="array" ref="AP697">XLOOKUP(TRUE, CHOOSECOLS(A697:V697, 1, 4, 7, 10, 13, 16, 19, 22)&lt;&gt;"", CHOOSECOLS(A697:V697, 1, 4, 7, 10, 13, 16, 19, 22), "", 0, -1)</f>
        <v/>
      </c>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AJ698" s="2"/>
      <c r="AN698" s="2"/>
      <c r="AO698" s="2"/>
      <c r="AP698" s="4" t="str">
        <f t="array" ref="AP698">XLOOKUP(TRUE, CHOOSECOLS(A698:V698, 1, 4, 7, 10, 13, 16, 19, 22)&lt;&gt;"", CHOOSECOLS(A698:V698, 1, 4, 7, 10, 13, 16, 19, 22), "", 0, -1)</f>
        <v/>
      </c>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AJ699" s="2"/>
      <c r="AN699" s="2"/>
      <c r="AO699" s="2"/>
      <c r="AP699" s="4" t="str">
        <f t="array" ref="AP699">XLOOKUP(TRUE, CHOOSECOLS(A699:V699, 1, 4, 7, 10, 13, 16, 19, 22)&lt;&gt;"", CHOOSECOLS(A699:V699, 1, 4, 7, 10, 13, 16, 19, 22), "", 0, -1)</f>
        <v/>
      </c>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AJ700" s="2"/>
      <c r="AN700" s="2"/>
      <c r="AO700" s="2"/>
      <c r="AP700" s="4" t="str">
        <f t="array" ref="AP700">XLOOKUP(TRUE, CHOOSECOLS(A700:V700, 1, 4, 7, 10, 13, 16, 19, 22)&lt;&gt;"", CHOOSECOLS(A700:V700, 1, 4, 7, 10, 13, 16, 19, 22), "", 0, -1)</f>
        <v/>
      </c>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AJ701" s="2"/>
      <c r="AN701" s="2"/>
      <c r="AO701" s="2"/>
      <c r="AP701" s="4" t="str">
        <f t="array" ref="AP701">XLOOKUP(TRUE, CHOOSECOLS(A701:V701, 1, 4, 7, 10, 13, 16, 19, 22)&lt;&gt;"", CHOOSECOLS(A701:V701, 1, 4, 7, 10, 13, 16, 19, 22), "", 0, -1)</f>
        <v/>
      </c>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AJ702" s="2"/>
      <c r="AN702" s="2"/>
      <c r="AO702" s="2"/>
      <c r="AP702" s="4" t="str">
        <f t="array" ref="AP702">XLOOKUP(TRUE, CHOOSECOLS(A702:V702, 1, 4, 7, 10, 13, 16, 19, 22)&lt;&gt;"", CHOOSECOLS(A702:V702, 1, 4, 7, 10, 13, 16, 19, 22), "", 0, -1)</f>
        <v/>
      </c>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AJ703" s="2"/>
      <c r="AN703" s="2"/>
      <c r="AO703" s="2"/>
      <c r="AP703" s="4" t="str">
        <f t="array" ref="AP703">XLOOKUP(TRUE, CHOOSECOLS(A703:V703, 1, 4, 7, 10, 13, 16, 19, 22)&lt;&gt;"", CHOOSECOLS(A703:V703, 1, 4, 7, 10, 13, 16, 19, 22), "", 0, -1)</f>
        <v/>
      </c>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AJ704" s="2"/>
      <c r="AN704" s="2"/>
      <c r="AO704" s="2"/>
      <c r="AP704" s="4" t="str">
        <f t="array" ref="AP704">XLOOKUP(TRUE, CHOOSECOLS(A704:V704, 1, 4, 7, 10, 13, 16, 19, 22)&lt;&gt;"", CHOOSECOLS(A704:V704, 1, 4, 7, 10, 13, 16, 19, 22), "", 0, -1)</f>
        <v/>
      </c>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AJ705" s="2"/>
      <c r="AN705" s="2"/>
      <c r="AO705" s="2"/>
      <c r="AP705" s="4" t="str">
        <f t="array" ref="AP705">XLOOKUP(TRUE, CHOOSECOLS(A705:V705, 1, 4, 7, 10, 13, 16, 19, 22)&lt;&gt;"", CHOOSECOLS(A705:V705, 1, 4, 7, 10, 13, 16, 19, 22), "", 0, -1)</f>
        <v/>
      </c>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AJ706" s="2"/>
      <c r="AN706" s="2"/>
      <c r="AO706" s="2"/>
      <c r="AP706" s="4" t="str">
        <f t="array" ref="AP706">XLOOKUP(TRUE, CHOOSECOLS(A706:V706, 1, 4, 7, 10, 13, 16, 19, 22)&lt;&gt;"", CHOOSECOLS(A706:V706, 1, 4, 7, 10, 13, 16, 19, 22), "", 0, -1)</f>
        <v/>
      </c>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AJ707" s="2"/>
      <c r="AN707" s="2"/>
      <c r="AO707" s="2"/>
      <c r="AP707" s="4" t="str">
        <f t="array" ref="AP707">XLOOKUP(TRUE, CHOOSECOLS(A707:V707, 1, 4, 7, 10, 13, 16, 19, 22)&lt;&gt;"", CHOOSECOLS(A707:V707, 1, 4, 7, 10, 13, 16, 19, 22), "", 0, -1)</f>
        <v/>
      </c>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AJ708" s="2"/>
      <c r="AN708" s="2"/>
      <c r="AO708" s="2"/>
      <c r="AP708" s="4" t="str">
        <f t="array" ref="AP708">XLOOKUP(TRUE, CHOOSECOLS(A708:V708, 1, 4, 7, 10, 13, 16, 19, 22)&lt;&gt;"", CHOOSECOLS(A708:V708, 1, 4, 7, 10, 13, 16, 19, 22), "", 0, -1)</f>
        <v/>
      </c>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AJ709" s="2"/>
      <c r="AN709" s="2"/>
      <c r="AO709" s="2"/>
      <c r="AP709" s="4" t="str">
        <f t="array" ref="AP709">XLOOKUP(TRUE, CHOOSECOLS(A709:V709, 1, 4, 7, 10, 13, 16, 19, 22)&lt;&gt;"", CHOOSECOLS(A709:V709, 1, 4, 7, 10, 13, 16, 19, 22), "", 0, -1)</f>
        <v/>
      </c>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AJ710" s="2"/>
      <c r="AN710" s="2"/>
      <c r="AO710" s="2"/>
      <c r="AP710" s="4" t="str">
        <f t="array" ref="AP710">XLOOKUP(TRUE, CHOOSECOLS(A710:V710, 1, 4, 7, 10, 13, 16, 19, 22)&lt;&gt;"", CHOOSECOLS(A710:V710, 1, 4, 7, 10, 13, 16, 19, 22), "", 0, -1)</f>
        <v/>
      </c>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AJ711" s="2"/>
      <c r="AN711" s="2"/>
      <c r="AO711" s="2"/>
      <c r="AP711" s="4" t="str">
        <f t="array" ref="AP711">XLOOKUP(TRUE, CHOOSECOLS(A711:V711, 1, 4, 7, 10, 13, 16, 19, 22)&lt;&gt;"", CHOOSECOLS(A711:V711, 1, 4, 7, 10, 13, 16, 19, 22), "", 0, -1)</f>
        <v/>
      </c>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AJ712" s="2"/>
      <c r="AN712" s="2"/>
      <c r="AO712" s="2"/>
      <c r="AP712" s="4" t="str">
        <f t="array" ref="AP712">XLOOKUP(TRUE, CHOOSECOLS(A712:V712, 1, 4, 7, 10, 13, 16, 19, 22)&lt;&gt;"", CHOOSECOLS(A712:V712, 1, 4, 7, 10, 13, 16, 19, 22), "", 0, -1)</f>
        <v/>
      </c>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AJ713" s="2"/>
      <c r="AN713" s="2"/>
      <c r="AO713" s="2"/>
      <c r="AP713" s="4" t="str">
        <f t="array" ref="AP713">XLOOKUP(TRUE, CHOOSECOLS(A713:V713, 1, 4, 7, 10, 13, 16, 19, 22)&lt;&gt;"", CHOOSECOLS(A713:V713, 1, 4, 7, 10, 13, 16, 19, 22), "", 0, -1)</f>
        <v/>
      </c>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AJ714" s="2"/>
      <c r="AN714" s="2"/>
      <c r="AO714" s="2"/>
      <c r="AP714" s="4" t="str">
        <f t="array" ref="AP714">XLOOKUP(TRUE, CHOOSECOLS(A714:V714, 1, 4, 7, 10, 13, 16, 19, 22)&lt;&gt;"", CHOOSECOLS(A714:V714, 1, 4, 7, 10, 13, 16, 19, 22), "", 0, -1)</f>
        <v/>
      </c>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AJ715" s="2"/>
      <c r="AN715" s="2"/>
      <c r="AO715" s="2"/>
      <c r="AP715" s="4" t="str">
        <f t="array" ref="AP715">XLOOKUP(TRUE, CHOOSECOLS(A715:V715, 1, 4, 7, 10, 13, 16, 19, 22)&lt;&gt;"", CHOOSECOLS(A715:V715, 1, 4, 7, 10, 13, 16, 19, 22), "", 0, -1)</f>
        <v/>
      </c>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AJ716" s="2"/>
      <c r="AN716" s="2"/>
      <c r="AO716" s="2"/>
      <c r="AP716" s="4" t="str">
        <f t="array" ref="AP716">XLOOKUP(TRUE, CHOOSECOLS(A716:V716, 1, 4, 7, 10, 13, 16, 19, 22)&lt;&gt;"", CHOOSECOLS(A716:V716, 1, 4, 7, 10, 13, 16, 19, 22), "", 0, -1)</f>
        <v/>
      </c>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AJ717" s="2"/>
      <c r="AN717" s="2"/>
      <c r="AO717" s="2"/>
      <c r="AP717" s="4" t="str">
        <f t="array" ref="AP717">XLOOKUP(TRUE, CHOOSECOLS(A717:V717, 1, 4, 7, 10, 13, 16, 19, 22)&lt;&gt;"", CHOOSECOLS(A717:V717, 1, 4, 7, 10, 13, 16, 19, 22), "", 0, -1)</f>
        <v/>
      </c>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AJ718" s="2"/>
      <c r="AN718" s="2"/>
      <c r="AO718" s="2"/>
      <c r="AP718" s="4" t="str">
        <f t="array" ref="AP718">XLOOKUP(TRUE, CHOOSECOLS(A718:V718, 1, 4, 7, 10, 13, 16, 19, 22)&lt;&gt;"", CHOOSECOLS(A718:V718, 1, 4, 7, 10, 13, 16, 19, 22), "", 0, -1)</f>
        <v/>
      </c>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AJ719" s="2"/>
      <c r="AN719" s="2"/>
      <c r="AO719" s="2"/>
      <c r="AP719" s="4" t="str">
        <f t="array" ref="AP719">XLOOKUP(TRUE, CHOOSECOLS(A719:V719, 1, 4, 7, 10, 13, 16, 19, 22)&lt;&gt;"", CHOOSECOLS(A719:V719, 1, 4, 7, 10, 13, 16, 19, 22), "", 0, -1)</f>
        <v/>
      </c>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AJ720" s="2"/>
      <c r="AN720" s="2"/>
      <c r="AO720" s="2"/>
      <c r="AP720" s="4" t="str">
        <f t="array" ref="AP720">XLOOKUP(TRUE, CHOOSECOLS(A720:V720, 1, 4, 7, 10, 13, 16, 19, 22)&lt;&gt;"", CHOOSECOLS(A720:V720, 1, 4, 7, 10, 13, 16, 19, 22), "", 0, -1)</f>
        <v/>
      </c>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AJ721" s="2"/>
      <c r="AN721" s="2"/>
      <c r="AO721" s="2"/>
      <c r="AP721" s="4" t="str">
        <f t="array" ref="AP721">XLOOKUP(TRUE, CHOOSECOLS(A721:V721, 1, 4, 7, 10, 13, 16, 19, 22)&lt;&gt;"", CHOOSECOLS(A721:V721, 1, 4, 7, 10, 13, 16, 19, 22), "", 0, -1)</f>
        <v/>
      </c>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AJ722" s="2"/>
      <c r="AN722" s="2"/>
      <c r="AO722" s="2"/>
      <c r="AP722" s="4" t="str">
        <f t="array" ref="AP722">XLOOKUP(TRUE, CHOOSECOLS(A722:V722, 1, 4, 7, 10, 13, 16, 19, 22)&lt;&gt;"", CHOOSECOLS(A722:V722, 1, 4, 7, 10, 13, 16, 19, 22), "", 0, -1)</f>
        <v/>
      </c>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AJ723" s="2"/>
      <c r="AN723" s="2"/>
      <c r="AO723" s="2"/>
      <c r="AP723" s="4" t="str">
        <f t="array" ref="AP723">XLOOKUP(TRUE, CHOOSECOLS(A723:V723, 1, 4, 7, 10, 13, 16, 19, 22)&lt;&gt;"", CHOOSECOLS(A723:V723, 1, 4, 7, 10, 13, 16, 19, 22), "", 0, -1)</f>
        <v/>
      </c>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AJ724" s="2"/>
      <c r="AN724" s="2"/>
      <c r="AO724" s="2"/>
      <c r="AP724" s="4" t="str">
        <f t="array" ref="AP724">XLOOKUP(TRUE, CHOOSECOLS(A724:V724, 1, 4, 7, 10, 13, 16, 19, 22)&lt;&gt;"", CHOOSECOLS(A724:V724, 1, 4, 7, 10, 13, 16, 19, 22), "", 0, -1)</f>
        <v/>
      </c>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AJ725" s="2"/>
      <c r="AN725" s="2"/>
      <c r="AO725" s="2"/>
      <c r="AP725" s="4" t="str">
        <f t="array" ref="AP725">XLOOKUP(TRUE, CHOOSECOLS(A725:V725, 1, 4, 7, 10, 13, 16, 19, 22)&lt;&gt;"", CHOOSECOLS(A725:V725, 1, 4, 7, 10, 13, 16, 19, 22), "", 0, -1)</f>
        <v/>
      </c>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AJ726" s="2"/>
      <c r="AN726" s="2"/>
      <c r="AO726" s="2"/>
      <c r="AP726" s="4" t="str">
        <f t="array" ref="AP726">XLOOKUP(TRUE, CHOOSECOLS(A726:V726, 1, 4, 7, 10, 13, 16, 19, 22)&lt;&gt;"", CHOOSECOLS(A726:V726, 1, 4, 7, 10, 13, 16, 19, 22), "", 0, -1)</f>
        <v/>
      </c>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AJ727" s="2"/>
      <c r="AN727" s="2"/>
      <c r="AO727" s="2"/>
      <c r="AP727" s="4" t="str">
        <f t="array" ref="AP727">XLOOKUP(TRUE, CHOOSECOLS(A727:V727, 1, 4, 7, 10, 13, 16, 19, 22)&lt;&gt;"", CHOOSECOLS(A727:V727, 1, 4, 7, 10, 13, 16, 19, 22), "", 0, -1)</f>
        <v/>
      </c>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AJ728" s="2"/>
      <c r="AN728" s="2"/>
      <c r="AO728" s="2"/>
      <c r="AP728" s="4" t="str">
        <f t="array" ref="AP728">XLOOKUP(TRUE, CHOOSECOLS(A728:V728, 1, 4, 7, 10, 13, 16, 19, 22)&lt;&gt;"", CHOOSECOLS(A728:V728, 1, 4, 7, 10, 13, 16, 19, 22), "", 0, -1)</f>
        <v/>
      </c>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AJ729" s="2"/>
      <c r="AN729" s="2"/>
      <c r="AO729" s="2"/>
      <c r="AP729" s="4" t="str">
        <f t="array" ref="AP729">XLOOKUP(TRUE, CHOOSECOLS(A729:V729, 1, 4, 7, 10, 13, 16, 19, 22)&lt;&gt;"", CHOOSECOLS(A729:V729, 1, 4, 7, 10, 13, 16, 19, 22), "", 0, -1)</f>
        <v/>
      </c>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AJ730" s="2"/>
      <c r="AN730" s="2"/>
      <c r="AO730" s="2"/>
      <c r="AP730" s="4" t="str">
        <f t="array" ref="AP730">XLOOKUP(TRUE, CHOOSECOLS(A730:V730, 1, 4, 7, 10, 13, 16, 19, 22)&lt;&gt;"", CHOOSECOLS(A730:V730, 1, 4, 7, 10, 13, 16, 19, 22), "", 0, -1)</f>
        <v/>
      </c>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AJ731" s="2"/>
      <c r="AN731" s="2"/>
      <c r="AO731" s="2"/>
      <c r="AP731" s="4" t="str">
        <f t="array" ref="AP731">XLOOKUP(TRUE, CHOOSECOLS(A731:V731, 1, 4, 7, 10, 13, 16, 19, 22)&lt;&gt;"", CHOOSECOLS(A731:V731, 1, 4, 7, 10, 13, 16, 19, 22), "", 0, -1)</f>
        <v/>
      </c>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AJ732" s="2"/>
      <c r="AN732" s="2"/>
      <c r="AO732" s="2"/>
      <c r="AP732" s="4" t="str">
        <f t="array" ref="AP732">XLOOKUP(TRUE, CHOOSECOLS(A732:V732, 1, 4, 7, 10, 13, 16, 19, 22)&lt;&gt;"", CHOOSECOLS(A732:V732, 1, 4, 7, 10, 13, 16, 19, 22), "", 0, -1)</f>
        <v/>
      </c>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AJ733" s="2"/>
      <c r="AN733" s="2"/>
      <c r="AO733" s="2"/>
      <c r="AP733" s="4" t="str">
        <f t="array" ref="AP733">XLOOKUP(TRUE, CHOOSECOLS(A733:V733, 1, 4, 7, 10, 13, 16, 19, 22)&lt;&gt;"", CHOOSECOLS(A733:V733, 1, 4, 7, 10, 13, 16, 19, 22), "", 0, -1)</f>
        <v/>
      </c>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AJ734" s="2"/>
      <c r="AN734" s="2"/>
      <c r="AO734" s="2"/>
      <c r="AP734" s="4" t="str">
        <f t="array" ref="AP734">XLOOKUP(TRUE, CHOOSECOLS(A734:V734, 1, 4, 7, 10, 13, 16, 19, 22)&lt;&gt;"", CHOOSECOLS(A734:V734, 1, 4, 7, 10, 13, 16, 19, 22), "", 0, -1)</f>
        <v/>
      </c>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AJ735" s="2"/>
      <c r="AN735" s="2"/>
      <c r="AO735" s="2"/>
      <c r="AP735" s="4" t="str">
        <f t="array" ref="AP735">XLOOKUP(TRUE, CHOOSECOLS(A735:V735, 1, 4, 7, 10, 13, 16, 19, 22)&lt;&gt;"", CHOOSECOLS(A735:V735, 1, 4, 7, 10, 13, 16, 19, 22), "", 0, -1)</f>
        <v/>
      </c>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AJ736" s="2"/>
      <c r="AN736" s="2"/>
      <c r="AO736" s="2"/>
      <c r="AP736" s="4" t="str">
        <f t="array" ref="AP736">XLOOKUP(TRUE, CHOOSECOLS(A736:V736, 1, 4, 7, 10, 13, 16, 19, 22)&lt;&gt;"", CHOOSECOLS(A736:V736, 1, 4, 7, 10, 13, 16, 19, 22), "", 0, -1)</f>
        <v/>
      </c>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AJ737" s="2"/>
      <c r="AN737" s="2"/>
      <c r="AO737" s="2"/>
      <c r="AP737" s="4" t="str">
        <f t="array" ref="AP737">XLOOKUP(TRUE, CHOOSECOLS(A737:V737, 1, 4, 7, 10, 13, 16, 19, 22)&lt;&gt;"", CHOOSECOLS(A737:V737, 1, 4, 7, 10, 13, 16, 19, 22), "", 0, -1)</f>
        <v/>
      </c>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AJ738" s="2"/>
      <c r="AN738" s="2"/>
      <c r="AO738" s="2"/>
      <c r="AP738" s="4" t="str">
        <f t="array" ref="AP738">XLOOKUP(TRUE, CHOOSECOLS(A738:V738, 1, 4, 7, 10, 13, 16, 19, 22)&lt;&gt;"", CHOOSECOLS(A738:V738, 1, 4, 7, 10, 13, 16, 19, 22), "", 0, -1)</f>
        <v/>
      </c>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AJ739" s="2"/>
      <c r="AN739" s="2"/>
      <c r="AO739" s="2"/>
      <c r="AP739" s="4" t="str">
        <f t="array" ref="AP739">XLOOKUP(TRUE, CHOOSECOLS(A739:V739, 1, 4, 7, 10, 13, 16, 19, 22)&lt;&gt;"", CHOOSECOLS(A739:V739, 1, 4, 7, 10, 13, 16, 19, 22), "", 0, -1)</f>
        <v/>
      </c>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AJ740" s="2"/>
      <c r="AN740" s="2"/>
      <c r="AO740" s="2"/>
      <c r="AP740" s="4" t="str">
        <f t="array" ref="AP740">XLOOKUP(TRUE, CHOOSECOLS(A740:V740, 1, 4, 7, 10, 13, 16, 19, 22)&lt;&gt;"", CHOOSECOLS(A740:V740, 1, 4, 7, 10, 13, 16, 19, 22), "", 0, -1)</f>
        <v/>
      </c>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AJ741" s="2"/>
      <c r="AN741" s="2"/>
      <c r="AO741" s="2"/>
      <c r="AP741" s="4" t="str">
        <f t="array" ref="AP741">XLOOKUP(TRUE, CHOOSECOLS(A741:V741, 1, 4, 7, 10, 13, 16, 19, 22)&lt;&gt;"", CHOOSECOLS(A741:V741, 1, 4, 7, 10, 13, 16, 19, 22), "", 0, -1)</f>
        <v/>
      </c>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AJ742" s="2"/>
      <c r="AN742" s="2"/>
      <c r="AO742" s="2"/>
      <c r="AP742" s="4" t="str">
        <f t="array" ref="AP742">XLOOKUP(TRUE, CHOOSECOLS(A742:V742, 1, 4, 7, 10, 13, 16, 19, 22)&lt;&gt;"", CHOOSECOLS(A742:V742, 1, 4, 7, 10, 13, 16, 19, 22), "", 0, -1)</f>
        <v/>
      </c>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AJ743" s="2"/>
      <c r="AN743" s="2"/>
      <c r="AO743" s="2"/>
      <c r="AP743" s="4" t="str">
        <f t="array" ref="AP743">XLOOKUP(TRUE, CHOOSECOLS(A743:V743, 1, 4, 7, 10, 13, 16, 19, 22)&lt;&gt;"", CHOOSECOLS(A743:V743, 1, 4, 7, 10, 13, 16, 19, 22), "", 0, -1)</f>
        <v/>
      </c>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AJ744" s="2"/>
      <c r="AN744" s="2"/>
      <c r="AO744" s="2"/>
      <c r="AP744" s="4" t="str">
        <f t="array" ref="AP744">XLOOKUP(TRUE, CHOOSECOLS(A744:V744, 1, 4, 7, 10, 13, 16, 19, 22)&lt;&gt;"", CHOOSECOLS(A744:V744, 1, 4, 7, 10, 13, 16, 19, 22), "", 0, -1)</f>
        <v/>
      </c>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AJ745" s="2"/>
      <c r="AN745" s="2"/>
      <c r="AO745" s="2"/>
      <c r="AP745" s="4" t="str">
        <f t="array" ref="AP745">XLOOKUP(TRUE, CHOOSECOLS(A745:V745, 1, 4, 7, 10, 13, 16, 19, 22)&lt;&gt;"", CHOOSECOLS(A745:V745, 1, 4, 7, 10, 13, 16, 19, 22), "", 0, -1)</f>
        <v/>
      </c>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AJ746" s="2"/>
      <c r="AN746" s="2"/>
      <c r="AO746" s="2"/>
      <c r="AP746" s="4" t="str">
        <f t="array" ref="AP746">XLOOKUP(TRUE, CHOOSECOLS(A746:V746, 1, 4, 7, 10, 13, 16, 19, 22)&lt;&gt;"", CHOOSECOLS(A746:V746, 1, 4, 7, 10, 13, 16, 19, 22), "", 0, -1)</f>
        <v/>
      </c>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AJ747" s="2"/>
      <c r="AN747" s="2"/>
      <c r="AO747" s="2"/>
      <c r="AP747" s="4" t="str">
        <f t="array" ref="AP747">XLOOKUP(TRUE, CHOOSECOLS(A747:V747, 1, 4, 7, 10, 13, 16, 19, 22)&lt;&gt;"", CHOOSECOLS(A747:V747, 1, 4, 7, 10, 13, 16, 19, 22), "", 0, -1)</f>
        <v/>
      </c>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AJ748" s="2"/>
      <c r="AN748" s="2"/>
      <c r="AO748" s="2"/>
      <c r="AP748" s="4" t="str">
        <f t="array" ref="AP748">XLOOKUP(TRUE, CHOOSECOLS(A748:V748, 1, 4, 7, 10, 13, 16, 19, 22)&lt;&gt;"", CHOOSECOLS(A748:V748, 1, 4, 7, 10, 13, 16, 19, 22), "", 0, -1)</f>
        <v/>
      </c>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AJ749" s="2"/>
      <c r="AN749" s="2"/>
      <c r="AO749" s="2"/>
      <c r="AP749" s="4" t="str">
        <f t="array" ref="AP749">XLOOKUP(TRUE, CHOOSECOLS(A749:V749, 1, 4, 7, 10, 13, 16, 19, 22)&lt;&gt;"", CHOOSECOLS(A749:V749, 1, 4, 7, 10, 13, 16, 19, 22), "", 0, -1)</f>
        <v/>
      </c>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AJ750" s="2"/>
      <c r="AN750" s="2"/>
      <c r="AO750" s="2"/>
      <c r="AP750" s="4" t="str">
        <f t="array" ref="AP750">XLOOKUP(TRUE, CHOOSECOLS(A750:V750, 1, 4, 7, 10, 13, 16, 19, 22)&lt;&gt;"", CHOOSECOLS(A750:V750, 1, 4, 7, 10, 13, 16, 19, 22), "", 0, -1)</f>
        <v/>
      </c>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AJ751" s="2"/>
      <c r="AN751" s="2"/>
      <c r="AO751" s="2"/>
      <c r="AP751" s="4" t="str">
        <f t="array" ref="AP751">XLOOKUP(TRUE, CHOOSECOLS(A751:V751, 1, 4, 7, 10, 13, 16, 19, 22)&lt;&gt;"", CHOOSECOLS(A751:V751, 1, 4, 7, 10, 13, 16, 19, 22), "", 0, -1)</f>
        <v/>
      </c>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AJ752" s="2"/>
      <c r="AN752" s="2"/>
      <c r="AO752" s="2"/>
      <c r="AP752" s="4" t="str">
        <f t="array" ref="AP752">XLOOKUP(TRUE, CHOOSECOLS(A752:V752, 1, 4, 7, 10, 13, 16, 19, 22)&lt;&gt;"", CHOOSECOLS(A752:V752, 1, 4, 7, 10, 13, 16, 19, 22), "", 0, -1)</f>
        <v/>
      </c>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AJ753" s="2"/>
      <c r="AN753" s="2"/>
      <c r="AO753" s="2"/>
      <c r="AP753" s="4" t="str">
        <f t="array" ref="AP753">XLOOKUP(TRUE, CHOOSECOLS(A753:V753, 1, 4, 7, 10, 13, 16, 19, 22)&lt;&gt;"", CHOOSECOLS(A753:V753, 1, 4, 7, 10, 13, 16, 19, 22), "", 0, -1)</f>
        <v/>
      </c>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AJ754" s="2"/>
      <c r="AN754" s="2"/>
      <c r="AO754" s="2"/>
      <c r="AP754" s="4" t="str">
        <f t="array" ref="AP754">XLOOKUP(TRUE, CHOOSECOLS(A754:V754, 1, 4, 7, 10, 13, 16, 19, 22)&lt;&gt;"", CHOOSECOLS(A754:V754, 1, 4, 7, 10, 13, 16, 19, 22), "", 0, -1)</f>
        <v/>
      </c>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AJ755" s="2"/>
      <c r="AN755" s="2"/>
      <c r="AO755" s="2"/>
      <c r="AP755" s="4" t="str">
        <f t="array" ref="AP755">XLOOKUP(TRUE, CHOOSECOLS(A755:V755, 1, 4, 7, 10, 13, 16, 19, 22)&lt;&gt;"", CHOOSECOLS(A755:V755, 1, 4, 7, 10, 13, 16, 19, 22), "", 0, -1)</f>
        <v/>
      </c>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AJ756" s="2"/>
      <c r="AN756" s="2"/>
      <c r="AO756" s="2"/>
      <c r="AP756" s="4" t="str">
        <f t="array" ref="AP756">XLOOKUP(TRUE, CHOOSECOLS(A756:V756, 1, 4, 7, 10, 13, 16, 19, 22)&lt;&gt;"", CHOOSECOLS(A756:V756, 1, 4, 7, 10, 13, 16, 19, 22), "", 0, -1)</f>
        <v/>
      </c>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AJ757" s="2"/>
      <c r="AN757" s="2"/>
      <c r="AO757" s="2"/>
      <c r="AP757" s="4" t="str">
        <f t="array" ref="AP757">XLOOKUP(TRUE, CHOOSECOLS(A757:V757, 1, 4, 7, 10, 13, 16, 19, 22)&lt;&gt;"", CHOOSECOLS(A757:V757, 1, 4, 7, 10, 13, 16, 19, 22), "", 0, -1)</f>
        <v/>
      </c>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AJ758" s="2"/>
      <c r="AN758" s="2"/>
      <c r="AO758" s="2"/>
      <c r="AP758" s="4" t="str">
        <f t="array" ref="AP758">XLOOKUP(TRUE, CHOOSECOLS(A758:V758, 1, 4, 7, 10, 13, 16, 19, 22)&lt;&gt;"", CHOOSECOLS(A758:V758, 1, 4, 7, 10, 13, 16, 19, 22), "", 0, -1)</f>
        <v/>
      </c>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AJ759" s="2"/>
      <c r="AN759" s="2"/>
      <c r="AO759" s="2"/>
      <c r="AP759" s="4" t="str">
        <f t="array" ref="AP759">XLOOKUP(TRUE, CHOOSECOLS(A759:V759, 1, 4, 7, 10, 13, 16, 19, 22)&lt;&gt;"", CHOOSECOLS(A759:V759, 1, 4, 7, 10, 13, 16, 19, 22), "", 0, -1)</f>
        <v/>
      </c>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AJ760" s="2"/>
      <c r="AN760" s="2"/>
      <c r="AO760" s="2"/>
      <c r="AP760" s="4" t="str">
        <f t="array" ref="AP760">XLOOKUP(TRUE, CHOOSECOLS(A760:V760, 1, 4, 7, 10, 13, 16, 19, 22)&lt;&gt;"", CHOOSECOLS(A760:V760, 1, 4, 7, 10, 13, 16, 19, 22), "", 0, -1)</f>
        <v/>
      </c>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AJ761" s="2"/>
      <c r="AN761" s="2"/>
      <c r="AO761" s="2"/>
      <c r="AP761" s="4" t="str">
        <f t="array" ref="AP761">XLOOKUP(TRUE, CHOOSECOLS(A761:V761, 1, 4, 7, 10, 13, 16, 19, 22)&lt;&gt;"", CHOOSECOLS(A761:V761, 1, 4, 7, 10, 13, 16, 19, 22), "", 0, -1)</f>
        <v/>
      </c>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AJ762" s="2"/>
      <c r="AN762" s="2"/>
      <c r="AO762" s="2"/>
      <c r="AP762" s="4" t="str">
        <f t="array" ref="AP762">XLOOKUP(TRUE, CHOOSECOLS(A762:V762, 1, 4, 7, 10, 13, 16, 19, 22)&lt;&gt;"", CHOOSECOLS(A762:V762, 1, 4, 7, 10, 13, 16, 19, 22), "", 0, -1)</f>
        <v/>
      </c>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AJ763" s="2"/>
      <c r="AN763" s="2"/>
      <c r="AO763" s="2"/>
      <c r="AP763" s="4" t="str">
        <f t="array" ref="AP763">XLOOKUP(TRUE, CHOOSECOLS(A763:V763, 1, 4, 7, 10, 13, 16, 19, 22)&lt;&gt;"", CHOOSECOLS(A763:V763, 1, 4, 7, 10, 13, 16, 19, 22), "", 0, -1)</f>
        <v/>
      </c>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AJ764" s="2"/>
      <c r="AN764" s="2"/>
      <c r="AO764" s="2"/>
      <c r="AP764" s="4" t="str">
        <f t="array" ref="AP764">XLOOKUP(TRUE, CHOOSECOLS(A764:V764, 1, 4, 7, 10, 13, 16, 19, 22)&lt;&gt;"", CHOOSECOLS(A764:V764, 1, 4, 7, 10, 13, 16, 19, 22), "", 0, -1)</f>
        <v/>
      </c>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AJ765" s="2"/>
      <c r="AN765" s="2"/>
      <c r="AO765" s="2"/>
      <c r="AP765" s="4" t="str">
        <f t="array" ref="AP765">XLOOKUP(TRUE, CHOOSECOLS(A765:V765, 1, 4, 7, 10, 13, 16, 19, 22)&lt;&gt;"", CHOOSECOLS(A765:V765, 1, 4, 7, 10, 13, 16, 19, 22), "", 0, -1)</f>
        <v/>
      </c>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AJ766" s="2"/>
      <c r="AN766" s="2"/>
      <c r="AO766" s="2"/>
      <c r="AP766" s="4" t="str">
        <f t="array" ref="AP766">XLOOKUP(TRUE, CHOOSECOLS(A766:V766, 1, 4, 7, 10, 13, 16, 19, 22)&lt;&gt;"", CHOOSECOLS(A766:V766, 1, 4, 7, 10, 13, 16, 19, 22), "", 0, -1)</f>
        <v/>
      </c>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AJ767" s="2"/>
      <c r="AN767" s="2"/>
      <c r="AO767" s="2"/>
      <c r="AP767" s="4" t="str">
        <f t="array" ref="AP767">XLOOKUP(TRUE, CHOOSECOLS(A767:V767, 1, 4, 7, 10, 13, 16, 19, 22)&lt;&gt;"", CHOOSECOLS(A767:V767, 1, 4, 7, 10, 13, 16, 19, 22), "", 0, -1)</f>
        <v/>
      </c>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AJ768" s="2"/>
      <c r="AN768" s="2"/>
      <c r="AO768" s="2"/>
      <c r="AP768" s="4" t="str">
        <f t="array" ref="AP768">XLOOKUP(TRUE, CHOOSECOLS(A768:V768, 1, 4, 7, 10, 13, 16, 19, 22)&lt;&gt;"", CHOOSECOLS(A768:V768, 1, 4, 7, 10, 13, 16, 19, 22), "", 0, -1)</f>
        <v/>
      </c>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AJ769" s="2"/>
      <c r="AN769" s="2"/>
      <c r="AO769" s="2"/>
      <c r="AP769" s="4" t="str">
        <f t="array" ref="AP769">XLOOKUP(TRUE, CHOOSECOLS(A769:V769, 1, 4, 7, 10, 13, 16, 19, 22)&lt;&gt;"", CHOOSECOLS(A769:V769, 1, 4, 7, 10, 13, 16, 19, 22), "", 0, -1)</f>
        <v/>
      </c>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AJ770" s="2"/>
      <c r="AN770" s="2"/>
      <c r="AO770" s="2"/>
      <c r="AP770" s="4" t="str">
        <f t="array" ref="AP770">XLOOKUP(TRUE, CHOOSECOLS(A770:V770, 1, 4, 7, 10, 13, 16, 19, 22)&lt;&gt;"", CHOOSECOLS(A770:V770, 1, 4, 7, 10, 13, 16, 19, 22), "", 0, -1)</f>
        <v/>
      </c>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AJ771" s="2"/>
      <c r="AN771" s="2"/>
      <c r="AO771" s="2"/>
      <c r="AP771" s="4" t="str">
        <f t="array" ref="AP771">XLOOKUP(TRUE, CHOOSECOLS(A771:V771, 1, 4, 7, 10, 13, 16, 19, 22)&lt;&gt;"", CHOOSECOLS(A771:V771, 1, 4, 7, 10, 13, 16, 19, 22), "", 0, -1)</f>
        <v/>
      </c>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AJ772" s="2"/>
      <c r="AN772" s="2"/>
      <c r="AO772" s="2"/>
      <c r="AP772" s="4" t="str">
        <f t="array" ref="AP772">XLOOKUP(TRUE, CHOOSECOLS(A772:V772, 1, 4, 7, 10, 13, 16, 19, 22)&lt;&gt;"", CHOOSECOLS(A772:V772, 1, 4, 7, 10, 13, 16, 19, 22), "", 0, -1)</f>
        <v/>
      </c>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AJ773" s="2"/>
      <c r="AN773" s="2"/>
      <c r="AO773" s="2"/>
      <c r="AP773" s="4" t="str">
        <f t="array" ref="AP773">XLOOKUP(TRUE, CHOOSECOLS(A773:V773, 1, 4, 7, 10, 13, 16, 19, 22)&lt;&gt;"", CHOOSECOLS(A773:V773, 1, 4, 7, 10, 13, 16, 19, 22), "", 0, -1)</f>
        <v/>
      </c>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AJ774" s="2"/>
      <c r="AN774" s="2"/>
      <c r="AO774" s="2"/>
      <c r="AP774" s="4" t="str">
        <f t="array" ref="AP774">XLOOKUP(TRUE, CHOOSECOLS(A774:V774, 1, 4, 7, 10, 13, 16, 19, 22)&lt;&gt;"", CHOOSECOLS(A774:V774, 1, 4, 7, 10, 13, 16, 19, 22), "", 0, -1)</f>
        <v/>
      </c>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AJ775" s="2"/>
      <c r="AN775" s="2"/>
      <c r="AO775" s="2"/>
      <c r="AP775" s="4" t="str">
        <f t="array" ref="AP775">XLOOKUP(TRUE, CHOOSECOLS(A775:V775, 1, 4, 7, 10, 13, 16, 19, 22)&lt;&gt;"", CHOOSECOLS(A775:V775, 1, 4, 7, 10, 13, 16, 19, 22), "", 0, -1)</f>
        <v/>
      </c>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AJ776" s="2"/>
      <c r="AN776" s="2"/>
      <c r="AO776" s="2"/>
      <c r="AP776" s="4" t="str">
        <f t="array" ref="AP776">XLOOKUP(TRUE, CHOOSECOLS(A776:V776, 1, 4, 7, 10, 13, 16, 19, 22)&lt;&gt;"", CHOOSECOLS(A776:V776, 1, 4, 7, 10, 13, 16, 19, 22), "", 0, -1)</f>
        <v/>
      </c>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AJ777" s="2"/>
      <c r="AN777" s="2"/>
      <c r="AO777" s="2"/>
      <c r="AP777" s="4" t="str">
        <f t="array" ref="AP777">XLOOKUP(TRUE, CHOOSECOLS(A777:V777, 1, 4, 7, 10, 13, 16, 19, 22)&lt;&gt;"", CHOOSECOLS(A777:V777, 1, 4, 7, 10, 13, 16, 19, 22), "", 0, -1)</f>
        <v/>
      </c>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AJ778" s="2"/>
      <c r="AN778" s="2"/>
      <c r="AO778" s="2"/>
      <c r="AP778" s="4" t="str">
        <f t="array" ref="AP778">XLOOKUP(TRUE, CHOOSECOLS(A778:V778, 1, 4, 7, 10, 13, 16, 19, 22)&lt;&gt;"", CHOOSECOLS(A778:V778, 1, 4, 7, 10, 13, 16, 19, 22), "", 0, -1)</f>
        <v/>
      </c>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AJ779" s="2"/>
      <c r="AN779" s="2"/>
      <c r="AO779" s="2"/>
      <c r="AP779" s="4" t="str">
        <f t="array" ref="AP779">XLOOKUP(TRUE, CHOOSECOLS(A779:V779, 1, 4, 7, 10, 13, 16, 19, 22)&lt;&gt;"", CHOOSECOLS(A779:V779, 1, 4, 7, 10, 13, 16, 19, 22), "", 0, -1)</f>
        <v/>
      </c>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AJ780" s="2"/>
      <c r="AN780" s="2"/>
      <c r="AO780" s="2"/>
      <c r="AP780" s="4" t="str">
        <f t="array" ref="AP780">XLOOKUP(TRUE, CHOOSECOLS(A780:V780, 1, 4, 7, 10, 13, 16, 19, 22)&lt;&gt;"", CHOOSECOLS(A780:V780, 1, 4, 7, 10, 13, 16, 19, 22), "", 0, -1)</f>
        <v/>
      </c>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AJ781" s="2"/>
      <c r="AN781" s="2"/>
      <c r="AO781" s="2"/>
      <c r="AP781" s="4" t="str">
        <f t="array" ref="AP781">XLOOKUP(TRUE, CHOOSECOLS(A781:V781, 1, 4, 7, 10, 13, 16, 19, 22)&lt;&gt;"", CHOOSECOLS(A781:V781, 1, 4, 7, 10, 13, 16, 19, 22), "", 0, -1)</f>
        <v/>
      </c>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AJ782" s="2"/>
      <c r="AN782" s="2"/>
      <c r="AO782" s="2"/>
      <c r="AP782" s="4" t="str">
        <f t="array" ref="AP782">XLOOKUP(TRUE, CHOOSECOLS(A782:V782, 1, 4, 7, 10, 13, 16, 19, 22)&lt;&gt;"", CHOOSECOLS(A782:V782, 1, 4, 7, 10, 13, 16, 19, 22), "", 0, -1)</f>
        <v/>
      </c>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AJ783" s="2"/>
      <c r="AN783" s="2"/>
      <c r="AO783" s="2"/>
      <c r="AP783" s="4" t="str">
        <f t="array" ref="AP783">XLOOKUP(TRUE, CHOOSECOLS(A783:V783, 1, 4, 7, 10, 13, 16, 19, 22)&lt;&gt;"", CHOOSECOLS(A783:V783, 1, 4, 7, 10, 13, 16, 19, 22), "", 0, -1)</f>
        <v/>
      </c>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AJ784" s="2"/>
      <c r="AN784" s="2"/>
      <c r="AO784" s="2"/>
      <c r="AP784" s="4" t="str">
        <f t="array" ref="AP784">XLOOKUP(TRUE, CHOOSECOLS(A784:V784, 1, 4, 7, 10, 13, 16, 19, 22)&lt;&gt;"", CHOOSECOLS(A784:V784, 1, 4, 7, 10, 13, 16, 19, 22), "", 0, -1)</f>
        <v/>
      </c>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AJ785" s="2"/>
      <c r="AN785" s="2"/>
      <c r="AO785" s="2"/>
      <c r="AP785" s="4" t="str">
        <f t="array" ref="AP785">XLOOKUP(TRUE, CHOOSECOLS(A785:V785, 1, 4, 7, 10, 13, 16, 19, 22)&lt;&gt;"", CHOOSECOLS(A785:V785, 1, 4, 7, 10, 13, 16, 19, 22), "", 0, -1)</f>
        <v/>
      </c>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AJ786" s="2"/>
      <c r="AN786" s="2"/>
      <c r="AO786" s="2"/>
      <c r="AP786" s="4" t="str">
        <f t="array" ref="AP786">XLOOKUP(TRUE, CHOOSECOLS(A786:V786, 1, 4, 7, 10, 13, 16, 19, 22)&lt;&gt;"", CHOOSECOLS(A786:V786, 1, 4, 7, 10, 13, 16, 19, 22), "", 0, -1)</f>
        <v/>
      </c>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AJ787" s="2"/>
      <c r="AN787" s="2"/>
      <c r="AO787" s="2"/>
      <c r="AP787" s="4" t="str">
        <f t="array" ref="AP787">XLOOKUP(TRUE, CHOOSECOLS(A787:V787, 1, 4, 7, 10, 13, 16, 19, 22)&lt;&gt;"", CHOOSECOLS(A787:V787, 1, 4, 7, 10, 13, 16, 19, 22), "", 0, -1)</f>
        <v/>
      </c>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AJ788" s="2"/>
      <c r="AN788" s="2"/>
      <c r="AO788" s="2"/>
      <c r="AP788" s="4" t="str">
        <f t="array" ref="AP788">XLOOKUP(TRUE, CHOOSECOLS(A788:V788, 1, 4, 7, 10, 13, 16, 19, 22)&lt;&gt;"", CHOOSECOLS(A788:V788, 1, 4, 7, 10, 13, 16, 19, 22), "", 0, -1)</f>
        <v/>
      </c>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AJ789" s="2"/>
      <c r="AN789" s="2"/>
      <c r="AO789" s="2"/>
      <c r="AP789" s="4" t="str">
        <f t="array" ref="AP789">XLOOKUP(TRUE, CHOOSECOLS(A789:V789, 1, 4, 7, 10, 13, 16, 19, 22)&lt;&gt;"", CHOOSECOLS(A789:V789, 1, 4, 7, 10, 13, 16, 19, 22), "", 0, -1)</f>
        <v/>
      </c>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AJ790" s="2"/>
      <c r="AN790" s="2"/>
      <c r="AO790" s="2"/>
      <c r="AP790" s="4" t="str">
        <f t="array" ref="AP790">XLOOKUP(TRUE, CHOOSECOLS(A790:V790, 1, 4, 7, 10, 13, 16, 19, 22)&lt;&gt;"", CHOOSECOLS(A790:V790, 1, 4, 7, 10, 13, 16, 19, 22), "", 0, -1)</f>
        <v/>
      </c>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AJ791" s="2"/>
      <c r="AN791" s="2"/>
      <c r="AO791" s="2"/>
      <c r="AP791" s="4" t="str">
        <f t="array" ref="AP791">XLOOKUP(TRUE, CHOOSECOLS(A791:V791, 1, 4, 7, 10, 13, 16, 19, 22)&lt;&gt;"", CHOOSECOLS(A791:V791, 1, 4, 7, 10, 13, 16, 19, 22), "", 0, -1)</f>
        <v/>
      </c>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AJ792" s="2"/>
      <c r="AN792" s="2"/>
      <c r="AO792" s="2"/>
      <c r="AP792" s="4" t="str">
        <f t="array" ref="AP792">XLOOKUP(TRUE, CHOOSECOLS(A792:V792, 1, 4, 7, 10, 13, 16, 19, 22)&lt;&gt;"", CHOOSECOLS(A792:V792, 1, 4, 7, 10, 13, 16, 19, 22), "", 0, -1)</f>
        <v/>
      </c>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AJ793" s="2"/>
      <c r="AN793" s="2"/>
      <c r="AO793" s="2"/>
      <c r="AP793" s="4" t="str">
        <f t="array" ref="AP793">XLOOKUP(TRUE, CHOOSECOLS(A793:V793, 1, 4, 7, 10, 13, 16, 19, 22)&lt;&gt;"", CHOOSECOLS(A793:V793, 1, 4, 7, 10, 13, 16, 19, 22), "", 0, -1)</f>
        <v/>
      </c>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AJ794" s="2"/>
      <c r="AN794" s="2"/>
      <c r="AO794" s="2"/>
      <c r="AP794" s="4" t="str">
        <f t="array" ref="AP794">XLOOKUP(TRUE, CHOOSECOLS(A794:V794, 1, 4, 7, 10, 13, 16, 19, 22)&lt;&gt;"", CHOOSECOLS(A794:V794, 1, 4, 7, 10, 13, 16, 19, 22), "", 0, -1)</f>
        <v/>
      </c>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AJ795" s="2"/>
      <c r="AN795" s="2"/>
      <c r="AO795" s="2"/>
      <c r="AP795" s="4" t="str">
        <f t="array" ref="AP795">XLOOKUP(TRUE, CHOOSECOLS(A795:V795, 1, 4, 7, 10, 13, 16, 19, 22)&lt;&gt;"", CHOOSECOLS(A795:V795, 1, 4, 7, 10, 13, 16, 19, 22), "", 0, -1)</f>
        <v/>
      </c>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AJ796" s="2"/>
      <c r="AN796" s="2"/>
      <c r="AO796" s="2"/>
      <c r="AP796" s="4" t="str">
        <f t="array" ref="AP796">XLOOKUP(TRUE, CHOOSECOLS(A796:V796, 1, 4, 7, 10, 13, 16, 19, 22)&lt;&gt;"", CHOOSECOLS(A796:V796, 1, 4, 7, 10, 13, 16, 19, 22), "", 0, -1)</f>
        <v/>
      </c>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AJ797" s="2"/>
      <c r="AN797" s="2"/>
      <c r="AO797" s="2"/>
      <c r="AP797" s="4" t="str">
        <f t="array" ref="AP797">XLOOKUP(TRUE, CHOOSECOLS(A797:V797, 1, 4, 7, 10, 13, 16, 19, 22)&lt;&gt;"", CHOOSECOLS(A797:V797, 1, 4, 7, 10, 13, 16, 19, 22), "", 0, -1)</f>
        <v/>
      </c>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AJ798" s="2"/>
      <c r="AN798" s="2"/>
      <c r="AO798" s="2"/>
      <c r="AP798" s="4" t="str">
        <f t="array" ref="AP798">XLOOKUP(TRUE, CHOOSECOLS(A798:V798, 1, 4, 7, 10, 13, 16, 19, 22)&lt;&gt;"", CHOOSECOLS(A798:V798, 1, 4, 7, 10, 13, 16, 19, 22), "", 0, -1)</f>
        <v/>
      </c>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AJ799" s="2"/>
      <c r="AN799" s="2"/>
      <c r="AO799" s="2"/>
      <c r="AP799" s="4" t="str">
        <f t="array" ref="AP799">XLOOKUP(TRUE, CHOOSECOLS(A799:V799, 1, 4, 7, 10, 13, 16, 19, 22)&lt;&gt;"", CHOOSECOLS(A799:V799, 1, 4, 7, 10, 13, 16, 19, 22), "", 0, -1)</f>
        <v/>
      </c>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AJ800" s="2"/>
      <c r="AN800" s="2"/>
      <c r="AO800" s="2"/>
      <c r="AP800" s="4" t="str">
        <f t="array" ref="AP800">XLOOKUP(TRUE, CHOOSECOLS(A800:V800, 1, 4, 7, 10, 13, 16, 19, 22)&lt;&gt;"", CHOOSECOLS(A800:V800, 1, 4, 7, 10, 13, 16, 19, 22), "", 0, -1)</f>
        <v/>
      </c>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AJ801" s="2"/>
      <c r="AN801" s="2"/>
      <c r="AO801" s="2"/>
      <c r="AP801" s="4" t="str">
        <f t="array" ref="AP801">XLOOKUP(TRUE, CHOOSECOLS(A801:V801, 1, 4, 7, 10, 13, 16, 19, 22)&lt;&gt;"", CHOOSECOLS(A801:V801, 1, 4, 7, 10, 13, 16, 19, 22), "", 0, -1)</f>
        <v/>
      </c>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AJ802" s="2"/>
      <c r="AN802" s="2"/>
      <c r="AO802" s="2"/>
      <c r="AP802" s="4" t="str">
        <f t="array" ref="AP802">XLOOKUP(TRUE, CHOOSECOLS(A802:V802, 1, 4, 7, 10, 13, 16, 19, 22)&lt;&gt;"", CHOOSECOLS(A802:V802, 1, 4, 7, 10, 13, 16, 19, 22), "", 0, -1)</f>
        <v/>
      </c>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AJ803" s="2"/>
      <c r="AN803" s="2"/>
      <c r="AO803" s="2"/>
      <c r="AP803" s="4" t="str">
        <f t="array" ref="AP803">XLOOKUP(TRUE, CHOOSECOLS(A803:V803, 1, 4, 7, 10, 13, 16, 19, 22)&lt;&gt;"", CHOOSECOLS(A803:V803, 1, 4, 7, 10, 13, 16, 19, 22), "", 0, -1)</f>
        <v/>
      </c>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AJ804" s="2"/>
      <c r="AN804" s="2"/>
      <c r="AO804" s="2"/>
      <c r="AP804" s="4" t="str">
        <f t="array" ref="AP804">XLOOKUP(TRUE, CHOOSECOLS(A804:V804, 1, 4, 7, 10, 13, 16, 19, 22)&lt;&gt;"", CHOOSECOLS(A804:V804, 1, 4, 7, 10, 13, 16, 19, 22), "", 0, -1)</f>
        <v/>
      </c>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AJ805" s="2"/>
      <c r="AN805" s="2"/>
      <c r="AO805" s="2"/>
      <c r="AP805" s="4" t="str">
        <f t="array" ref="AP805">XLOOKUP(TRUE, CHOOSECOLS(A805:V805, 1, 4, 7, 10, 13, 16, 19, 22)&lt;&gt;"", CHOOSECOLS(A805:V805, 1, 4, 7, 10, 13, 16, 19, 22), "", 0, -1)</f>
        <v/>
      </c>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AJ806" s="2"/>
      <c r="AN806" s="2"/>
      <c r="AO806" s="2"/>
      <c r="AP806" s="4" t="str">
        <f t="array" ref="AP806">XLOOKUP(TRUE, CHOOSECOLS(A806:V806, 1, 4, 7, 10, 13, 16, 19, 22)&lt;&gt;"", CHOOSECOLS(A806:V806, 1, 4, 7, 10, 13, 16, 19, 22), "", 0, -1)</f>
        <v/>
      </c>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AJ807" s="2"/>
      <c r="AN807" s="2"/>
      <c r="AO807" s="2"/>
      <c r="AP807" s="4" t="str">
        <f t="array" ref="AP807">XLOOKUP(TRUE, CHOOSECOLS(A807:V807, 1, 4, 7, 10, 13, 16, 19, 22)&lt;&gt;"", CHOOSECOLS(A807:V807, 1, 4, 7, 10, 13, 16, 19, 22), "", 0, -1)</f>
        <v/>
      </c>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AJ808" s="2"/>
      <c r="AN808" s="2"/>
      <c r="AO808" s="2"/>
      <c r="AP808" s="4" t="str">
        <f t="array" ref="AP808">XLOOKUP(TRUE, CHOOSECOLS(A808:V808, 1, 4, 7, 10, 13, 16, 19, 22)&lt;&gt;"", CHOOSECOLS(A808:V808, 1, 4, 7, 10, 13, 16, 19, 22), "", 0, -1)</f>
        <v/>
      </c>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AJ809" s="2"/>
      <c r="AN809" s="2"/>
      <c r="AO809" s="2"/>
      <c r="AP809" s="4" t="str">
        <f t="array" ref="AP809">XLOOKUP(TRUE, CHOOSECOLS(A809:V809, 1, 4, 7, 10, 13, 16, 19, 22)&lt;&gt;"", CHOOSECOLS(A809:V809, 1, 4, 7, 10, 13, 16, 19, 22), "", 0, -1)</f>
        <v/>
      </c>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AJ810" s="2"/>
      <c r="AN810" s="2"/>
      <c r="AO810" s="2"/>
      <c r="AP810" s="4" t="str">
        <f t="array" ref="AP810">XLOOKUP(TRUE, CHOOSECOLS(A810:V810, 1, 4, 7, 10, 13, 16, 19, 22)&lt;&gt;"", CHOOSECOLS(A810:V810, 1, 4, 7, 10, 13, 16, 19, 22), "", 0, -1)</f>
        <v/>
      </c>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AJ811" s="2"/>
      <c r="AN811" s="2"/>
      <c r="AO811" s="2"/>
      <c r="AP811" s="4" t="str">
        <f t="array" ref="AP811">XLOOKUP(TRUE, CHOOSECOLS(A811:V811, 1, 4, 7, 10, 13, 16, 19, 22)&lt;&gt;"", CHOOSECOLS(A811:V811, 1, 4, 7, 10, 13, 16, 19, 22), "", 0, -1)</f>
        <v/>
      </c>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AJ812" s="2"/>
      <c r="AN812" s="2"/>
      <c r="AO812" s="2"/>
      <c r="AP812" s="4" t="str">
        <f t="array" ref="AP812">XLOOKUP(TRUE, CHOOSECOLS(A812:V812, 1, 4, 7, 10, 13, 16, 19, 22)&lt;&gt;"", CHOOSECOLS(A812:V812, 1, 4, 7, 10, 13, 16, 19, 22), "", 0, -1)</f>
        <v/>
      </c>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AJ813" s="2"/>
      <c r="AN813" s="2"/>
      <c r="AO813" s="2"/>
      <c r="AP813" s="4" t="str">
        <f t="array" ref="AP813">XLOOKUP(TRUE, CHOOSECOLS(A813:V813, 1, 4, 7, 10, 13, 16, 19, 22)&lt;&gt;"", CHOOSECOLS(A813:V813, 1, 4, 7, 10, 13, 16, 19, 22), "", 0, -1)</f>
        <v/>
      </c>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AJ814" s="2"/>
      <c r="AN814" s="2"/>
      <c r="AO814" s="2"/>
      <c r="AP814" s="4" t="str">
        <f t="array" ref="AP814">XLOOKUP(TRUE, CHOOSECOLS(A814:V814, 1, 4, 7, 10, 13, 16, 19, 22)&lt;&gt;"", CHOOSECOLS(A814:V814, 1, 4, 7, 10, 13, 16, 19, 22), "", 0, -1)</f>
        <v/>
      </c>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AJ815" s="2"/>
      <c r="AN815" s="2"/>
      <c r="AO815" s="2"/>
      <c r="AP815" s="4" t="str">
        <f t="array" ref="AP815">XLOOKUP(TRUE, CHOOSECOLS(A815:V815, 1, 4, 7, 10, 13, 16, 19, 22)&lt;&gt;"", CHOOSECOLS(A815:V815, 1, 4, 7, 10, 13, 16, 19, 22), "", 0, -1)</f>
        <v/>
      </c>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AJ816" s="2"/>
      <c r="AN816" s="2"/>
      <c r="AO816" s="2"/>
      <c r="AP816" s="4" t="str">
        <f t="array" ref="AP816">XLOOKUP(TRUE, CHOOSECOLS(A816:V816, 1, 4, 7, 10, 13, 16, 19, 22)&lt;&gt;"", CHOOSECOLS(A816:V816, 1, 4, 7, 10, 13, 16, 19, 22), "", 0, -1)</f>
        <v/>
      </c>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AJ817" s="2"/>
      <c r="AN817" s="2"/>
      <c r="AO817" s="2"/>
      <c r="AP817" s="4" t="str">
        <f t="array" ref="AP817">XLOOKUP(TRUE, CHOOSECOLS(A817:V817, 1, 4, 7, 10, 13, 16, 19, 22)&lt;&gt;"", CHOOSECOLS(A817:V817, 1, 4, 7, 10, 13, 16, 19, 22), "", 0, -1)</f>
        <v/>
      </c>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AJ818" s="2"/>
      <c r="AN818" s="2"/>
      <c r="AO818" s="2"/>
      <c r="AP818" s="4" t="str">
        <f t="array" ref="AP818">XLOOKUP(TRUE, CHOOSECOLS(A818:V818, 1, 4, 7, 10, 13, 16, 19, 22)&lt;&gt;"", CHOOSECOLS(A818:V818, 1, 4, 7, 10, 13, 16, 19, 22), "", 0, -1)</f>
        <v/>
      </c>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AJ819" s="2"/>
      <c r="AN819" s="2"/>
      <c r="AO819" s="2"/>
      <c r="AP819" s="4" t="str">
        <f t="array" ref="AP819">XLOOKUP(TRUE, CHOOSECOLS(A819:V819, 1, 4, 7, 10, 13, 16, 19, 22)&lt;&gt;"", CHOOSECOLS(A819:V819, 1, 4, 7, 10, 13, 16, 19, 22), "", 0, -1)</f>
        <v/>
      </c>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AJ820" s="2"/>
      <c r="AN820" s="2"/>
      <c r="AO820" s="2"/>
      <c r="AP820" s="4" t="str">
        <f t="array" ref="AP820">XLOOKUP(TRUE, CHOOSECOLS(A820:V820, 1, 4, 7, 10, 13, 16, 19, 22)&lt;&gt;"", CHOOSECOLS(A820:V820, 1, 4, 7, 10, 13, 16, 19, 22), "", 0, -1)</f>
        <v/>
      </c>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AJ821" s="2"/>
      <c r="AN821" s="2"/>
      <c r="AO821" s="2"/>
      <c r="AP821" s="4" t="str">
        <f t="array" ref="AP821">XLOOKUP(TRUE, CHOOSECOLS(A821:V821, 1, 4, 7, 10, 13, 16, 19, 22)&lt;&gt;"", CHOOSECOLS(A821:V821, 1, 4, 7, 10, 13, 16, 19, 22), "", 0, -1)</f>
        <v/>
      </c>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AJ822" s="2"/>
      <c r="AN822" s="2"/>
      <c r="AO822" s="2"/>
      <c r="AP822" s="4" t="str">
        <f t="array" ref="AP822">XLOOKUP(TRUE, CHOOSECOLS(A822:V822, 1, 4, 7, 10, 13, 16, 19, 22)&lt;&gt;"", CHOOSECOLS(A822:V822, 1, 4, 7, 10, 13, 16, 19, 22), "", 0, -1)</f>
        <v/>
      </c>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AJ823" s="2"/>
      <c r="AN823" s="2"/>
      <c r="AO823" s="2"/>
      <c r="AP823" s="4" t="str">
        <f t="array" ref="AP823">XLOOKUP(TRUE, CHOOSECOLS(A823:V823, 1, 4, 7, 10, 13, 16, 19, 22)&lt;&gt;"", CHOOSECOLS(A823:V823, 1, 4, 7, 10, 13, 16, 19, 22), "", 0, -1)</f>
        <v/>
      </c>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AJ824" s="2"/>
      <c r="AN824" s="2"/>
      <c r="AO824" s="2"/>
      <c r="AP824" s="4" t="str">
        <f t="array" ref="AP824">XLOOKUP(TRUE, CHOOSECOLS(A824:V824, 1, 4, 7, 10, 13, 16, 19, 22)&lt;&gt;"", CHOOSECOLS(A824:V824, 1, 4, 7, 10, 13, 16, 19, 22), "", 0, -1)</f>
        <v/>
      </c>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AJ825" s="2"/>
      <c r="AN825" s="2"/>
      <c r="AO825" s="2"/>
      <c r="AP825" s="4" t="str">
        <f t="array" ref="AP825">XLOOKUP(TRUE, CHOOSECOLS(A825:V825, 1, 4, 7, 10, 13, 16, 19, 22)&lt;&gt;"", CHOOSECOLS(A825:V825, 1, 4, 7, 10, 13, 16, 19, 22), "", 0, -1)</f>
        <v/>
      </c>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AJ826" s="2"/>
      <c r="AN826" s="2"/>
      <c r="AO826" s="2"/>
      <c r="AP826" s="4" t="str">
        <f t="array" ref="AP826">XLOOKUP(TRUE, CHOOSECOLS(A826:V826, 1, 4, 7, 10, 13, 16, 19, 22)&lt;&gt;"", CHOOSECOLS(A826:V826, 1, 4, 7, 10, 13, 16, 19, 22), "", 0, -1)</f>
        <v/>
      </c>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AJ827" s="2"/>
      <c r="AN827" s="2"/>
      <c r="AO827" s="2"/>
      <c r="AP827" s="4" t="str">
        <f t="array" ref="AP827">XLOOKUP(TRUE, CHOOSECOLS(A827:V827, 1, 4, 7, 10, 13, 16, 19, 22)&lt;&gt;"", CHOOSECOLS(A827:V827, 1, 4, 7, 10, 13, 16, 19, 22), "", 0, -1)</f>
        <v/>
      </c>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AJ828" s="2"/>
      <c r="AN828" s="2"/>
      <c r="AO828" s="2"/>
      <c r="AP828" s="4" t="str">
        <f t="array" ref="AP828">XLOOKUP(TRUE, CHOOSECOLS(A828:V828, 1, 4, 7, 10, 13, 16, 19, 22)&lt;&gt;"", CHOOSECOLS(A828:V828, 1, 4, 7, 10, 13, 16, 19, 22), "", 0, -1)</f>
        <v/>
      </c>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AJ829" s="2"/>
      <c r="AN829" s="2"/>
      <c r="AO829" s="2"/>
      <c r="AP829" s="4" t="str">
        <f t="array" ref="AP829">XLOOKUP(TRUE, CHOOSECOLS(A829:V829, 1, 4, 7, 10, 13, 16, 19, 22)&lt;&gt;"", CHOOSECOLS(A829:V829, 1, 4, 7, 10, 13, 16, 19, 22), "", 0, -1)</f>
        <v/>
      </c>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AJ830" s="2"/>
      <c r="AN830" s="2"/>
      <c r="AO830" s="2"/>
      <c r="AP830" s="4" t="str">
        <f t="array" ref="AP830">XLOOKUP(TRUE, CHOOSECOLS(A830:V830, 1, 4, 7, 10, 13, 16, 19, 22)&lt;&gt;"", CHOOSECOLS(A830:V830, 1, 4, 7, 10, 13, 16, 19, 22), "", 0, -1)</f>
        <v/>
      </c>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AJ831" s="2"/>
      <c r="AN831" s="2"/>
      <c r="AO831" s="2"/>
      <c r="AP831" s="4" t="str">
        <f t="array" ref="AP831">XLOOKUP(TRUE, CHOOSECOLS(A831:V831, 1, 4, 7, 10, 13, 16, 19, 22)&lt;&gt;"", CHOOSECOLS(A831:V831, 1, 4, 7, 10, 13, 16, 19, 22), "", 0, -1)</f>
        <v/>
      </c>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AJ832" s="2"/>
      <c r="AN832" s="2"/>
      <c r="AO832" s="2"/>
      <c r="AP832" s="4" t="str">
        <f t="array" ref="AP832">XLOOKUP(TRUE, CHOOSECOLS(A832:V832, 1, 4, 7, 10, 13, 16, 19, 22)&lt;&gt;"", CHOOSECOLS(A832:V832, 1, 4, 7, 10, 13, 16, 19, 22), "", 0, -1)</f>
        <v/>
      </c>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AJ833" s="2"/>
      <c r="AN833" s="2"/>
      <c r="AO833" s="2"/>
      <c r="AP833" s="4" t="str">
        <f t="array" ref="AP833">XLOOKUP(TRUE, CHOOSECOLS(A833:V833, 1, 4, 7, 10, 13, 16, 19, 22)&lt;&gt;"", CHOOSECOLS(A833:V833, 1, 4, 7, 10, 13, 16, 19, 22), "", 0, -1)</f>
        <v/>
      </c>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AJ834" s="2"/>
      <c r="AN834" s="2"/>
      <c r="AO834" s="2"/>
      <c r="AP834" s="4" t="str">
        <f t="array" ref="AP834">XLOOKUP(TRUE, CHOOSECOLS(A834:V834, 1, 4, 7, 10, 13, 16, 19, 22)&lt;&gt;"", CHOOSECOLS(A834:V834, 1, 4, 7, 10, 13, 16, 19, 22), "", 0, -1)</f>
        <v/>
      </c>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AJ835" s="2"/>
      <c r="AN835" s="2"/>
      <c r="AO835" s="2"/>
      <c r="AP835" s="4" t="str">
        <f t="array" ref="AP835">XLOOKUP(TRUE, CHOOSECOLS(A835:V835, 1, 4, 7, 10, 13, 16, 19, 22)&lt;&gt;"", CHOOSECOLS(A835:V835, 1, 4, 7, 10, 13, 16, 19, 22), "", 0, -1)</f>
        <v/>
      </c>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AJ836" s="2"/>
      <c r="AN836" s="2"/>
      <c r="AO836" s="2"/>
      <c r="AP836" s="4" t="str">
        <f t="array" ref="AP836">XLOOKUP(TRUE, CHOOSECOLS(A836:V836, 1, 4, 7, 10, 13, 16, 19, 22)&lt;&gt;"", CHOOSECOLS(A836:V836, 1, 4, 7, 10, 13, 16, 19, 22), "", 0, -1)</f>
        <v/>
      </c>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AJ837" s="2"/>
      <c r="AN837" s="2"/>
      <c r="AO837" s="2"/>
      <c r="AP837" s="4" t="str">
        <f t="array" ref="AP837">XLOOKUP(TRUE, CHOOSECOLS(A837:V837, 1, 4, 7, 10, 13, 16, 19, 22)&lt;&gt;"", CHOOSECOLS(A837:V837, 1, 4, 7, 10, 13, 16, 19, 22), "", 0, -1)</f>
        <v/>
      </c>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AJ838" s="2"/>
      <c r="AN838" s="2"/>
      <c r="AO838" s="2"/>
      <c r="AP838" s="4" t="str">
        <f t="array" ref="AP838">XLOOKUP(TRUE, CHOOSECOLS(A838:V838, 1, 4, 7, 10, 13, 16, 19, 22)&lt;&gt;"", CHOOSECOLS(A838:V838, 1, 4, 7, 10, 13, 16, 19, 22), "", 0, -1)</f>
        <v/>
      </c>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AJ839" s="2"/>
      <c r="AN839" s="2"/>
      <c r="AO839" s="2"/>
      <c r="AP839" s="4" t="str">
        <f t="array" ref="AP839">XLOOKUP(TRUE, CHOOSECOLS(A839:V839, 1, 4, 7, 10, 13, 16, 19, 22)&lt;&gt;"", CHOOSECOLS(A839:V839, 1, 4, 7, 10, 13, 16, 19, 22), "", 0, -1)</f>
        <v/>
      </c>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AJ840" s="2"/>
      <c r="AN840" s="2"/>
      <c r="AO840" s="2"/>
      <c r="AP840" s="4" t="str">
        <f t="array" ref="AP840">XLOOKUP(TRUE, CHOOSECOLS(A840:V840, 1, 4, 7, 10, 13, 16, 19, 22)&lt;&gt;"", CHOOSECOLS(A840:V840, 1, 4, 7, 10, 13, 16, 19, 22), "", 0, -1)</f>
        <v/>
      </c>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AJ841" s="2"/>
      <c r="AN841" s="2"/>
      <c r="AO841" s="2"/>
      <c r="AP841" s="4" t="str">
        <f t="array" ref="AP841">XLOOKUP(TRUE, CHOOSECOLS(A841:V841, 1, 4, 7, 10, 13, 16, 19, 22)&lt;&gt;"", CHOOSECOLS(A841:V841, 1, 4, 7, 10, 13, 16, 19, 22), "", 0, -1)</f>
        <v/>
      </c>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AJ842" s="2"/>
      <c r="AN842" s="2"/>
      <c r="AO842" s="2"/>
      <c r="AP842" s="4" t="str">
        <f t="array" ref="AP842">XLOOKUP(TRUE, CHOOSECOLS(A842:V842, 1, 4, 7, 10, 13, 16, 19, 22)&lt;&gt;"", CHOOSECOLS(A842:V842, 1, 4, 7, 10, 13, 16, 19, 22), "", 0, -1)</f>
        <v/>
      </c>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AJ843" s="2"/>
      <c r="AN843" s="2"/>
      <c r="AO843" s="2"/>
      <c r="AP843" s="4" t="str">
        <f t="array" ref="AP843">XLOOKUP(TRUE, CHOOSECOLS(A843:V843, 1, 4, 7, 10, 13, 16, 19, 22)&lt;&gt;"", CHOOSECOLS(A843:V843, 1, 4, 7, 10, 13, 16, 19, 22), "", 0, -1)</f>
        <v/>
      </c>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AJ844" s="2"/>
      <c r="AN844" s="2"/>
      <c r="AO844" s="2"/>
      <c r="AP844" s="4" t="str">
        <f t="array" ref="AP844">XLOOKUP(TRUE, CHOOSECOLS(A844:V844, 1, 4, 7, 10, 13, 16, 19, 22)&lt;&gt;"", CHOOSECOLS(A844:V844, 1, 4, 7, 10, 13, 16, 19, 22), "", 0, -1)</f>
        <v/>
      </c>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AJ845" s="2"/>
      <c r="AN845" s="2"/>
      <c r="AO845" s="2"/>
      <c r="AP845" s="4" t="str">
        <f t="array" ref="AP845">XLOOKUP(TRUE, CHOOSECOLS(A845:V845, 1, 4, 7, 10, 13, 16, 19, 22)&lt;&gt;"", CHOOSECOLS(A845:V845, 1, 4, 7, 10, 13, 16, 19, 22), "", 0, -1)</f>
        <v/>
      </c>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AJ846" s="2"/>
      <c r="AN846" s="2"/>
      <c r="AO846" s="2"/>
      <c r="AP846" s="4" t="str">
        <f t="array" ref="AP846">XLOOKUP(TRUE, CHOOSECOLS(A846:V846, 1, 4, 7, 10, 13, 16, 19, 22)&lt;&gt;"", CHOOSECOLS(A846:V846, 1, 4, 7, 10, 13, 16, 19, 22), "", 0, -1)</f>
        <v/>
      </c>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AJ847" s="2"/>
      <c r="AN847" s="2"/>
      <c r="AO847" s="2"/>
      <c r="AP847" s="4" t="str">
        <f t="array" ref="AP847">XLOOKUP(TRUE, CHOOSECOLS(A847:V847, 1, 4, 7, 10, 13, 16, 19, 22)&lt;&gt;"", CHOOSECOLS(A847:V847, 1, 4, 7, 10, 13, 16, 19, 22), "", 0, -1)</f>
        <v/>
      </c>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AJ848" s="2"/>
      <c r="AN848" s="2"/>
      <c r="AO848" s="2"/>
      <c r="AP848" s="4" t="str">
        <f t="array" ref="AP848">XLOOKUP(TRUE, CHOOSECOLS(A848:V848, 1, 4, 7, 10, 13, 16, 19, 22)&lt;&gt;"", CHOOSECOLS(A848:V848, 1, 4, 7, 10, 13, 16, 19, 22), "", 0, -1)</f>
        <v/>
      </c>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AJ849" s="2"/>
      <c r="AN849" s="2"/>
      <c r="AO849" s="2"/>
      <c r="AP849" s="4" t="str">
        <f t="array" ref="AP849">XLOOKUP(TRUE, CHOOSECOLS(A849:V849, 1, 4, 7, 10, 13, 16, 19, 22)&lt;&gt;"", CHOOSECOLS(A849:V849, 1, 4, 7, 10, 13, 16, 19, 22), "", 0, -1)</f>
        <v/>
      </c>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AJ850" s="2"/>
      <c r="AN850" s="2"/>
      <c r="AO850" s="2"/>
      <c r="AP850" s="4" t="str">
        <f t="array" ref="AP850">XLOOKUP(TRUE, CHOOSECOLS(A850:V850, 1, 4, 7, 10, 13, 16, 19, 22)&lt;&gt;"", CHOOSECOLS(A850:V850, 1, 4, 7, 10, 13, 16, 19, 22), "", 0, -1)</f>
        <v/>
      </c>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AJ851" s="2"/>
      <c r="AN851" s="2"/>
      <c r="AO851" s="2"/>
      <c r="AP851" s="4" t="str">
        <f t="array" ref="AP851">XLOOKUP(TRUE, CHOOSECOLS(A851:V851, 1, 4, 7, 10, 13, 16, 19, 22)&lt;&gt;"", CHOOSECOLS(A851:V851, 1, 4, 7, 10, 13, 16, 19, 22), "", 0, -1)</f>
        <v/>
      </c>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AJ852" s="2"/>
      <c r="AN852" s="2"/>
      <c r="AO852" s="2"/>
      <c r="AP852" s="4" t="str">
        <f t="array" ref="AP852">XLOOKUP(TRUE, CHOOSECOLS(A852:V852, 1, 4, 7, 10, 13, 16, 19, 22)&lt;&gt;"", CHOOSECOLS(A852:V852, 1, 4, 7, 10, 13, 16, 19, 22), "", 0, -1)</f>
        <v/>
      </c>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AJ853" s="2"/>
      <c r="AN853" s="2"/>
      <c r="AO853" s="2"/>
      <c r="AP853" s="4" t="str">
        <f t="array" ref="AP853">XLOOKUP(TRUE, CHOOSECOLS(A853:V853, 1, 4, 7, 10, 13, 16, 19, 22)&lt;&gt;"", CHOOSECOLS(A853:V853, 1, 4, 7, 10, 13, 16, 19, 22), "", 0, -1)</f>
        <v/>
      </c>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AJ854" s="2"/>
      <c r="AN854" s="2"/>
      <c r="AO854" s="2"/>
      <c r="AP854" s="4" t="str">
        <f t="array" ref="AP854">XLOOKUP(TRUE, CHOOSECOLS(A854:V854, 1, 4, 7, 10, 13, 16, 19, 22)&lt;&gt;"", CHOOSECOLS(A854:V854, 1, 4, 7, 10, 13, 16, 19, 22), "", 0, -1)</f>
        <v/>
      </c>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AJ855" s="2"/>
      <c r="AN855" s="2"/>
      <c r="AO855" s="2"/>
      <c r="AP855" s="4" t="str">
        <f t="array" ref="AP855">XLOOKUP(TRUE, CHOOSECOLS(A855:V855, 1, 4, 7, 10, 13, 16, 19, 22)&lt;&gt;"", CHOOSECOLS(A855:V855, 1, 4, 7, 10, 13, 16, 19, 22), "", 0, -1)</f>
        <v/>
      </c>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AJ856" s="2"/>
      <c r="AN856" s="2"/>
      <c r="AO856" s="2"/>
      <c r="AP856" s="4" t="str">
        <f t="array" ref="AP856">XLOOKUP(TRUE, CHOOSECOLS(A856:V856, 1, 4, 7, 10, 13, 16, 19, 22)&lt;&gt;"", CHOOSECOLS(A856:V856, 1, 4, 7, 10, 13, 16, 19, 22), "", 0, -1)</f>
        <v/>
      </c>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AJ857" s="2"/>
      <c r="AN857" s="2"/>
      <c r="AO857" s="2"/>
      <c r="AP857" s="4" t="str">
        <f t="array" ref="AP857">XLOOKUP(TRUE, CHOOSECOLS(A857:V857, 1, 4, 7, 10, 13, 16, 19, 22)&lt;&gt;"", CHOOSECOLS(A857:V857, 1, 4, 7, 10, 13, 16, 19, 22), "", 0, -1)</f>
        <v/>
      </c>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AJ858" s="2"/>
      <c r="AN858" s="2"/>
      <c r="AO858" s="2"/>
      <c r="AP858" s="4" t="str">
        <f t="array" ref="AP858">XLOOKUP(TRUE, CHOOSECOLS(A858:V858, 1, 4, 7, 10, 13, 16, 19, 22)&lt;&gt;"", CHOOSECOLS(A858:V858, 1, 4, 7, 10, 13, 16, 19, 22), "", 0, -1)</f>
        <v/>
      </c>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AJ859" s="2"/>
      <c r="AN859" s="2"/>
      <c r="AO859" s="2"/>
      <c r="AP859" s="4" t="str">
        <f t="array" ref="AP859">XLOOKUP(TRUE, CHOOSECOLS(A859:V859, 1, 4, 7, 10, 13, 16, 19, 22)&lt;&gt;"", CHOOSECOLS(A859:V859, 1, 4, 7, 10, 13, 16, 19, 22), "", 0, -1)</f>
        <v/>
      </c>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AJ860" s="2"/>
      <c r="AN860" s="2"/>
      <c r="AO860" s="2"/>
      <c r="AP860" s="4" t="str">
        <f t="array" ref="AP860">XLOOKUP(TRUE, CHOOSECOLS(A860:V860, 1, 4, 7, 10, 13, 16, 19, 22)&lt;&gt;"", CHOOSECOLS(A860:V860, 1, 4, 7, 10, 13, 16, 19, 22), "", 0, -1)</f>
        <v/>
      </c>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AJ861" s="2"/>
      <c r="AN861" s="2"/>
      <c r="AO861" s="2"/>
      <c r="AP861" s="4" t="str">
        <f t="array" ref="AP861">XLOOKUP(TRUE, CHOOSECOLS(A861:V861, 1, 4, 7, 10, 13, 16, 19, 22)&lt;&gt;"", CHOOSECOLS(A861:V861, 1, 4, 7, 10, 13, 16, 19, 22), "", 0, -1)</f>
        <v/>
      </c>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AJ862" s="2"/>
      <c r="AN862" s="2"/>
      <c r="AO862" s="2"/>
      <c r="AP862" s="4" t="str">
        <f t="array" ref="AP862">XLOOKUP(TRUE, CHOOSECOLS(A862:V862, 1, 4, 7, 10, 13, 16, 19, 22)&lt;&gt;"", CHOOSECOLS(A862:V862, 1, 4, 7, 10, 13, 16, 19, 22), "", 0, -1)</f>
        <v/>
      </c>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AJ863" s="2"/>
      <c r="AN863" s="2"/>
      <c r="AO863" s="2"/>
      <c r="AP863" s="4" t="str">
        <f t="array" ref="AP863">XLOOKUP(TRUE, CHOOSECOLS(A863:V863, 1, 4, 7, 10, 13, 16, 19, 22)&lt;&gt;"", CHOOSECOLS(A863:V863, 1, 4, 7, 10, 13, 16, 19, 22), "", 0, -1)</f>
        <v/>
      </c>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AJ864" s="2"/>
      <c r="AN864" s="2"/>
      <c r="AO864" s="2"/>
      <c r="AP864" s="4" t="str">
        <f t="array" ref="AP864">XLOOKUP(TRUE, CHOOSECOLS(A864:V864, 1, 4, 7, 10, 13, 16, 19, 22)&lt;&gt;"", CHOOSECOLS(A864:V864, 1, 4, 7, 10, 13, 16, 19, 22), "", 0, -1)</f>
        <v/>
      </c>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AJ865" s="2"/>
      <c r="AN865" s="2"/>
      <c r="AO865" s="2"/>
      <c r="AP865" s="4" t="str">
        <f t="array" ref="AP865">XLOOKUP(TRUE, CHOOSECOLS(A865:V865, 1, 4, 7, 10, 13, 16, 19, 22)&lt;&gt;"", CHOOSECOLS(A865:V865, 1, 4, 7, 10, 13, 16, 19, 22), "", 0, -1)</f>
        <v/>
      </c>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AJ866" s="2"/>
      <c r="AN866" s="2"/>
      <c r="AO866" s="2"/>
      <c r="AP866" s="4" t="str">
        <f t="array" ref="AP866">XLOOKUP(TRUE, CHOOSECOLS(A866:V866, 1, 4, 7, 10, 13, 16, 19, 22)&lt;&gt;"", CHOOSECOLS(A866:V866, 1, 4, 7, 10, 13, 16, 19, 22), "", 0, -1)</f>
        <v/>
      </c>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AJ867" s="2"/>
      <c r="AN867" s="2"/>
      <c r="AO867" s="2"/>
      <c r="AP867" s="4" t="str">
        <f t="array" ref="AP867">XLOOKUP(TRUE, CHOOSECOLS(A867:V867, 1, 4, 7, 10, 13, 16, 19, 22)&lt;&gt;"", CHOOSECOLS(A867:V867, 1, 4, 7, 10, 13, 16, 19, 22), "", 0, -1)</f>
        <v/>
      </c>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AJ868" s="2"/>
      <c r="AN868" s="2"/>
      <c r="AO868" s="2"/>
      <c r="AP868" s="4" t="str">
        <f t="array" ref="AP868">XLOOKUP(TRUE, CHOOSECOLS(A868:V868, 1, 4, 7, 10, 13, 16, 19, 22)&lt;&gt;"", CHOOSECOLS(A868:V868, 1, 4, 7, 10, 13, 16, 19, 22), "", 0, -1)</f>
        <v/>
      </c>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AJ869" s="2"/>
      <c r="AN869" s="2"/>
      <c r="AO869" s="2"/>
      <c r="AP869" s="4" t="str">
        <f t="array" ref="AP869">XLOOKUP(TRUE, CHOOSECOLS(A869:V869, 1, 4, 7, 10, 13, 16, 19, 22)&lt;&gt;"", CHOOSECOLS(A869:V869, 1, 4, 7, 10, 13, 16, 19, 22), "", 0, -1)</f>
        <v/>
      </c>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AJ870" s="2"/>
      <c r="AN870" s="2"/>
      <c r="AO870" s="2"/>
      <c r="AP870" s="4" t="str">
        <f t="array" ref="AP870">XLOOKUP(TRUE, CHOOSECOLS(A870:V870, 1, 4, 7, 10, 13, 16, 19, 22)&lt;&gt;"", CHOOSECOLS(A870:V870, 1, 4, 7, 10, 13, 16, 19, 22), "", 0, -1)</f>
        <v/>
      </c>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AJ871" s="2"/>
      <c r="AN871" s="2"/>
      <c r="AO871" s="2"/>
      <c r="AP871" s="4" t="str">
        <f t="array" ref="AP871">XLOOKUP(TRUE, CHOOSECOLS(A871:V871, 1, 4, 7, 10, 13, 16, 19, 22)&lt;&gt;"", CHOOSECOLS(A871:V871, 1, 4, 7, 10, 13, 16, 19, 22), "", 0, -1)</f>
        <v/>
      </c>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AJ872" s="2"/>
      <c r="AN872" s="2"/>
      <c r="AO872" s="2"/>
      <c r="AP872" s="4" t="str">
        <f t="array" ref="AP872">XLOOKUP(TRUE, CHOOSECOLS(A872:V872, 1, 4, 7, 10, 13, 16, 19, 22)&lt;&gt;"", CHOOSECOLS(A872:V872, 1, 4, 7, 10, 13, 16, 19, 22), "", 0, -1)</f>
        <v/>
      </c>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AJ873" s="2"/>
      <c r="AN873" s="2"/>
      <c r="AO873" s="2"/>
      <c r="AP873" s="4" t="str">
        <f t="array" ref="AP873">XLOOKUP(TRUE, CHOOSECOLS(A873:V873, 1, 4, 7, 10, 13, 16, 19, 22)&lt;&gt;"", CHOOSECOLS(A873:V873, 1, 4, 7, 10, 13, 16, 19, 22), "", 0, -1)</f>
        <v/>
      </c>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AJ874" s="2"/>
      <c r="AN874" s="2"/>
      <c r="AO874" s="2"/>
      <c r="AP874" s="4" t="str">
        <f t="array" ref="AP874">XLOOKUP(TRUE, CHOOSECOLS(A874:V874, 1, 4, 7, 10, 13, 16, 19, 22)&lt;&gt;"", CHOOSECOLS(A874:V874, 1, 4, 7, 10, 13, 16, 19, 22), "", 0, -1)</f>
        <v/>
      </c>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AJ875" s="2"/>
      <c r="AN875" s="2"/>
      <c r="AO875" s="2"/>
      <c r="AP875" s="4" t="str">
        <f t="array" ref="AP875">XLOOKUP(TRUE, CHOOSECOLS(A875:V875, 1, 4, 7, 10, 13, 16, 19, 22)&lt;&gt;"", CHOOSECOLS(A875:V875, 1, 4, 7, 10, 13, 16, 19, 22), "", 0, -1)</f>
        <v/>
      </c>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AJ876" s="2"/>
      <c r="AN876" s="2"/>
      <c r="AO876" s="2"/>
      <c r="AP876" s="4" t="str">
        <f t="array" ref="AP876">XLOOKUP(TRUE, CHOOSECOLS(A876:V876, 1, 4, 7, 10, 13, 16, 19, 22)&lt;&gt;"", CHOOSECOLS(A876:V876, 1, 4, 7, 10, 13, 16, 19, 22), "", 0, -1)</f>
        <v/>
      </c>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AJ877" s="2"/>
      <c r="AN877" s="2"/>
      <c r="AO877" s="2"/>
      <c r="AP877" s="4" t="str">
        <f t="array" ref="AP877">XLOOKUP(TRUE, CHOOSECOLS(A877:V877, 1, 4, 7, 10, 13, 16, 19, 22)&lt;&gt;"", CHOOSECOLS(A877:V877, 1, 4, 7, 10, 13, 16, 19, 22), "", 0, -1)</f>
        <v/>
      </c>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AJ878" s="2"/>
      <c r="AN878" s="2"/>
      <c r="AO878" s="2"/>
      <c r="AP878" s="4" t="str">
        <f t="array" ref="AP878">XLOOKUP(TRUE, CHOOSECOLS(A878:V878, 1, 4, 7, 10, 13, 16, 19, 22)&lt;&gt;"", CHOOSECOLS(A878:V878, 1, 4, 7, 10, 13, 16, 19, 22), "", 0, -1)</f>
        <v/>
      </c>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AJ879" s="2"/>
      <c r="AN879" s="2"/>
      <c r="AO879" s="2"/>
      <c r="AP879" s="4" t="str">
        <f t="array" ref="AP879">XLOOKUP(TRUE, CHOOSECOLS(A879:V879, 1, 4, 7, 10, 13, 16, 19, 22)&lt;&gt;"", CHOOSECOLS(A879:V879, 1, 4, 7, 10, 13, 16, 19, 22), "", 0, -1)</f>
        <v/>
      </c>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AJ880" s="2"/>
      <c r="AN880" s="2"/>
      <c r="AO880" s="2"/>
      <c r="AP880" s="4" t="str">
        <f t="array" ref="AP880">XLOOKUP(TRUE, CHOOSECOLS(A880:V880, 1, 4, 7, 10, 13, 16, 19, 22)&lt;&gt;"", CHOOSECOLS(A880:V880, 1, 4, 7, 10, 13, 16, 19, 22), "", 0, -1)</f>
        <v/>
      </c>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AJ881" s="2"/>
      <c r="AN881" s="2"/>
      <c r="AO881" s="2"/>
      <c r="AP881" s="4" t="str">
        <f t="array" ref="AP881">XLOOKUP(TRUE, CHOOSECOLS(A881:V881, 1, 4, 7, 10, 13, 16, 19, 22)&lt;&gt;"", CHOOSECOLS(A881:V881, 1, 4, 7, 10, 13, 16, 19, 22), "", 0, -1)</f>
        <v/>
      </c>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AJ882" s="2"/>
      <c r="AN882" s="2"/>
      <c r="AO882" s="2"/>
      <c r="AP882" s="4" t="str">
        <f t="array" ref="AP882">XLOOKUP(TRUE, CHOOSECOLS(A882:V882, 1, 4, 7, 10, 13, 16, 19, 22)&lt;&gt;"", CHOOSECOLS(A882:V882, 1, 4, 7, 10, 13, 16, 19, 22), "", 0, -1)</f>
        <v/>
      </c>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AJ883" s="2"/>
      <c r="AN883" s="2"/>
      <c r="AO883" s="2"/>
      <c r="AP883" s="4" t="str">
        <f t="array" ref="AP883">XLOOKUP(TRUE, CHOOSECOLS(A883:V883, 1, 4, 7, 10, 13, 16, 19, 22)&lt;&gt;"", CHOOSECOLS(A883:V883, 1, 4, 7, 10, 13, 16, 19, 22), "", 0, -1)</f>
        <v/>
      </c>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AJ884" s="2"/>
      <c r="AN884" s="2"/>
      <c r="AO884" s="2"/>
      <c r="AP884" s="4" t="str">
        <f t="array" ref="AP884">XLOOKUP(TRUE, CHOOSECOLS(A884:V884, 1, 4, 7, 10, 13, 16, 19, 22)&lt;&gt;"", CHOOSECOLS(A884:V884, 1, 4, 7, 10, 13, 16, 19, 22), "", 0, -1)</f>
        <v/>
      </c>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AJ885" s="2"/>
      <c r="AN885" s="2"/>
      <c r="AO885" s="2"/>
      <c r="AP885" s="4" t="str">
        <f t="array" ref="AP885">XLOOKUP(TRUE, CHOOSECOLS(A885:V885, 1, 4, 7, 10, 13, 16, 19, 22)&lt;&gt;"", CHOOSECOLS(A885:V885, 1, 4, 7, 10, 13, 16, 19, 22), "", 0, -1)</f>
        <v/>
      </c>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AJ886" s="2"/>
      <c r="AN886" s="2"/>
      <c r="AO886" s="2"/>
      <c r="AP886" s="4" t="str">
        <f t="array" ref="AP886">XLOOKUP(TRUE, CHOOSECOLS(A886:V886, 1, 4, 7, 10, 13, 16, 19, 22)&lt;&gt;"", CHOOSECOLS(A886:V886, 1, 4, 7, 10, 13, 16, 19, 22), "", 0, -1)</f>
        <v/>
      </c>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AJ887" s="2"/>
      <c r="AN887" s="2"/>
      <c r="AO887" s="2"/>
      <c r="AP887" s="4" t="str">
        <f t="array" ref="AP887">XLOOKUP(TRUE, CHOOSECOLS(A887:V887, 1, 4, 7, 10, 13, 16, 19, 22)&lt;&gt;"", CHOOSECOLS(A887:V887, 1, 4, 7, 10, 13, 16, 19, 22), "", 0, -1)</f>
        <v/>
      </c>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AJ888" s="2"/>
      <c r="AN888" s="2"/>
      <c r="AO888" s="2"/>
      <c r="AP888" s="4" t="str">
        <f t="array" ref="AP888">XLOOKUP(TRUE, CHOOSECOLS(A888:V888, 1, 4, 7, 10, 13, 16, 19, 22)&lt;&gt;"", CHOOSECOLS(A888:V888, 1, 4, 7, 10, 13, 16, 19, 22), "", 0, -1)</f>
        <v/>
      </c>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AJ889" s="2"/>
      <c r="AN889" s="2"/>
      <c r="AO889" s="2"/>
      <c r="AP889" s="4" t="str">
        <f t="array" ref="AP889">XLOOKUP(TRUE, CHOOSECOLS(A889:V889, 1, 4, 7, 10, 13, 16, 19, 22)&lt;&gt;"", CHOOSECOLS(A889:V889, 1, 4, 7, 10, 13, 16, 19, 22), "", 0, -1)</f>
        <v/>
      </c>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AJ890" s="2"/>
      <c r="AN890" s="2"/>
      <c r="AO890" s="2"/>
      <c r="AP890" s="4" t="str">
        <f t="array" ref="AP890">XLOOKUP(TRUE, CHOOSECOLS(A890:V890, 1, 4, 7, 10, 13, 16, 19, 22)&lt;&gt;"", CHOOSECOLS(A890:V890, 1, 4, 7, 10, 13, 16, 19, 22), "", 0, -1)</f>
        <v/>
      </c>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AJ891" s="2"/>
      <c r="AN891" s="2"/>
      <c r="AO891" s="2"/>
      <c r="AP891" s="4" t="str">
        <f t="array" ref="AP891">XLOOKUP(TRUE, CHOOSECOLS(A891:V891, 1, 4, 7, 10, 13, 16, 19, 22)&lt;&gt;"", CHOOSECOLS(A891:V891, 1, 4, 7, 10, 13, 16, 19, 22), "", 0, -1)</f>
        <v/>
      </c>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AJ892" s="2"/>
      <c r="AN892" s="2"/>
      <c r="AO892" s="2"/>
      <c r="AP892" s="4" t="str">
        <f t="array" ref="AP892">XLOOKUP(TRUE, CHOOSECOLS(A892:V892, 1, 4, 7, 10, 13, 16, 19, 22)&lt;&gt;"", CHOOSECOLS(A892:V892, 1, 4, 7, 10, 13, 16, 19, 22), "", 0, -1)</f>
        <v/>
      </c>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AJ893" s="2"/>
      <c r="AN893" s="2"/>
      <c r="AO893" s="2"/>
      <c r="AP893" s="4" t="str">
        <f t="array" ref="AP893">XLOOKUP(TRUE, CHOOSECOLS(A893:V893, 1, 4, 7, 10, 13, 16, 19, 22)&lt;&gt;"", CHOOSECOLS(A893:V893, 1, 4, 7, 10, 13, 16, 19, 22), "", 0, -1)</f>
        <v/>
      </c>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AJ894" s="2"/>
      <c r="AN894" s="2"/>
      <c r="AO894" s="2"/>
      <c r="AP894" s="4" t="str">
        <f t="array" ref="AP894">XLOOKUP(TRUE, CHOOSECOLS(A894:V894, 1, 4, 7, 10, 13, 16, 19, 22)&lt;&gt;"", CHOOSECOLS(A894:V894, 1, 4, 7, 10, 13, 16, 19, 22), "", 0, -1)</f>
        <v/>
      </c>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AJ895" s="2"/>
      <c r="AN895" s="2"/>
      <c r="AO895" s="2"/>
      <c r="AP895" s="4" t="str">
        <f t="array" ref="AP895">XLOOKUP(TRUE, CHOOSECOLS(A895:V895, 1, 4, 7, 10, 13, 16, 19, 22)&lt;&gt;"", CHOOSECOLS(A895:V895, 1, 4, 7, 10, 13, 16, 19, 22), "", 0, -1)</f>
        <v/>
      </c>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AJ896" s="2"/>
      <c r="AN896" s="2"/>
      <c r="AO896" s="2"/>
      <c r="AP896" s="4" t="str">
        <f t="array" ref="AP896">XLOOKUP(TRUE, CHOOSECOLS(A896:V896, 1, 4, 7, 10, 13, 16, 19, 22)&lt;&gt;"", CHOOSECOLS(A896:V896, 1, 4, 7, 10, 13, 16, 19, 22), "", 0, -1)</f>
        <v/>
      </c>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AJ897" s="2"/>
      <c r="AN897" s="2"/>
      <c r="AO897" s="2"/>
      <c r="AP897" s="4" t="str">
        <f t="array" ref="AP897">XLOOKUP(TRUE, CHOOSECOLS(A897:V897, 1, 4, 7, 10, 13, 16, 19, 22)&lt;&gt;"", CHOOSECOLS(A897:V897, 1, 4, 7, 10, 13, 16, 19, 22), "", 0, -1)</f>
        <v/>
      </c>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AJ898" s="2"/>
      <c r="AN898" s="2"/>
      <c r="AO898" s="2"/>
      <c r="AP898" s="4" t="str">
        <f t="array" ref="AP898">XLOOKUP(TRUE, CHOOSECOLS(A898:V898, 1, 4, 7, 10, 13, 16, 19, 22)&lt;&gt;"", CHOOSECOLS(A898:V898, 1, 4, 7, 10, 13, 16, 19, 22), "", 0, -1)</f>
        <v/>
      </c>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AJ899" s="2"/>
      <c r="AN899" s="2"/>
      <c r="AO899" s="2"/>
      <c r="AP899" s="4" t="str">
        <f t="array" ref="AP899">XLOOKUP(TRUE, CHOOSECOLS(A899:V899, 1, 4, 7, 10, 13, 16, 19, 22)&lt;&gt;"", CHOOSECOLS(A899:V899, 1, 4, 7, 10, 13, 16, 19, 22), "", 0, -1)</f>
        <v/>
      </c>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AJ900" s="2"/>
      <c r="AN900" s="2"/>
      <c r="AO900" s="2"/>
      <c r="AP900" s="4" t="str">
        <f t="array" ref="AP900">XLOOKUP(TRUE, CHOOSECOLS(A900:V900, 1, 4, 7, 10, 13, 16, 19, 22)&lt;&gt;"", CHOOSECOLS(A900:V900, 1, 4, 7, 10, 13, 16, 19, 22), "", 0, -1)</f>
        <v/>
      </c>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AJ901" s="2"/>
      <c r="AN901" s="2"/>
      <c r="AO901" s="2"/>
      <c r="AP901" s="4" t="str">
        <f t="array" ref="AP901">XLOOKUP(TRUE, CHOOSECOLS(A901:V901, 1, 4, 7, 10, 13, 16, 19, 22)&lt;&gt;"", CHOOSECOLS(A901:V901, 1, 4, 7, 10, 13, 16, 19, 22), "", 0, -1)</f>
        <v/>
      </c>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AJ902" s="2"/>
      <c r="AN902" s="2"/>
      <c r="AO902" s="2"/>
      <c r="AP902" s="4" t="str">
        <f t="array" ref="AP902">XLOOKUP(TRUE, CHOOSECOLS(A902:V902, 1, 4, 7, 10, 13, 16, 19, 22)&lt;&gt;"", CHOOSECOLS(A902:V902, 1, 4, 7, 10, 13, 16, 19, 22), "", 0, -1)</f>
        <v/>
      </c>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AJ903" s="2"/>
      <c r="AN903" s="2"/>
      <c r="AO903" s="2"/>
      <c r="AP903" s="4" t="str">
        <f t="array" ref="AP903">XLOOKUP(TRUE, CHOOSECOLS(A903:V903, 1, 4, 7, 10, 13, 16, 19, 22)&lt;&gt;"", CHOOSECOLS(A903:V903, 1, 4, 7, 10, 13, 16, 19, 22), "", 0, -1)</f>
        <v/>
      </c>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AJ904" s="2"/>
      <c r="AN904" s="2"/>
      <c r="AO904" s="2"/>
      <c r="AP904" s="4" t="str">
        <f t="array" ref="AP904">XLOOKUP(TRUE, CHOOSECOLS(A904:V904, 1, 4, 7, 10, 13, 16, 19, 22)&lt;&gt;"", CHOOSECOLS(A904:V904, 1, 4, 7, 10, 13, 16, 19, 22), "", 0, -1)</f>
        <v/>
      </c>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AJ905" s="2"/>
      <c r="AN905" s="2"/>
      <c r="AO905" s="2"/>
      <c r="AP905" s="4" t="str">
        <f t="array" ref="AP905">XLOOKUP(TRUE, CHOOSECOLS(A905:V905, 1, 4, 7, 10, 13, 16, 19, 22)&lt;&gt;"", CHOOSECOLS(A905:V905, 1, 4, 7, 10, 13, 16, 19, 22), "", 0, -1)</f>
        <v/>
      </c>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AJ906" s="2"/>
      <c r="AN906" s="2"/>
      <c r="AO906" s="2"/>
      <c r="AP906" s="4" t="str">
        <f t="array" ref="AP906">XLOOKUP(TRUE, CHOOSECOLS(A906:V906, 1, 4, 7, 10, 13, 16, 19, 22)&lt;&gt;"", CHOOSECOLS(A906:V906, 1, 4, 7, 10, 13, 16, 19, 22), "", 0, -1)</f>
        <v/>
      </c>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AJ907" s="2"/>
      <c r="AN907" s="2"/>
      <c r="AO907" s="2"/>
      <c r="AP907" s="4" t="str">
        <f t="array" ref="AP907">XLOOKUP(TRUE, CHOOSECOLS(A907:V907, 1, 4, 7, 10, 13, 16, 19, 22)&lt;&gt;"", CHOOSECOLS(A907:V907, 1, 4, 7, 10, 13, 16, 19, 22), "", 0, -1)</f>
        <v/>
      </c>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AJ908" s="2"/>
      <c r="AN908" s="2"/>
      <c r="AO908" s="2"/>
      <c r="AP908" s="4" t="str">
        <f t="array" ref="AP908">XLOOKUP(TRUE, CHOOSECOLS(A908:V908, 1, 4, 7, 10, 13, 16, 19, 22)&lt;&gt;"", CHOOSECOLS(A908:V908, 1, 4, 7, 10, 13, 16, 19, 22), "", 0, -1)</f>
        <v/>
      </c>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AJ909" s="2"/>
      <c r="AN909" s="2"/>
      <c r="AO909" s="2"/>
      <c r="AP909" s="4" t="str">
        <f t="array" ref="AP909">XLOOKUP(TRUE, CHOOSECOLS(A909:V909, 1, 4, 7, 10, 13, 16, 19, 22)&lt;&gt;"", CHOOSECOLS(A909:V909, 1, 4, 7, 10, 13, 16, 19, 22), "", 0, -1)</f>
        <v/>
      </c>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AJ910" s="2"/>
      <c r="AN910" s="2"/>
      <c r="AO910" s="2"/>
      <c r="AP910" s="4" t="str">
        <f t="array" ref="AP910">XLOOKUP(TRUE, CHOOSECOLS(A910:V910, 1, 4, 7, 10, 13, 16, 19, 22)&lt;&gt;"", CHOOSECOLS(A910:V910, 1, 4, 7, 10, 13, 16, 19, 22), "", 0, -1)</f>
        <v/>
      </c>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AJ911" s="2"/>
      <c r="AN911" s="2"/>
      <c r="AO911" s="2"/>
      <c r="AP911" s="4" t="str">
        <f t="array" ref="AP911">XLOOKUP(TRUE, CHOOSECOLS(A911:V911, 1, 4, 7, 10, 13, 16, 19, 22)&lt;&gt;"", CHOOSECOLS(A911:V911, 1, 4, 7, 10, 13, 16, 19, 22), "", 0, -1)</f>
        <v/>
      </c>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AJ912" s="2"/>
      <c r="AN912" s="2"/>
      <c r="AO912" s="2"/>
      <c r="AP912" s="4" t="str">
        <f t="array" ref="AP912">XLOOKUP(TRUE, CHOOSECOLS(A912:V912, 1, 4, 7, 10, 13, 16, 19, 22)&lt;&gt;"", CHOOSECOLS(A912:V912, 1, 4, 7, 10, 13, 16, 19, 22), "", 0, -1)</f>
        <v/>
      </c>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AJ913" s="2"/>
      <c r="AN913" s="2"/>
      <c r="AO913" s="2"/>
      <c r="AP913" s="4" t="str">
        <f t="array" ref="AP913">XLOOKUP(TRUE, CHOOSECOLS(A913:V913, 1, 4, 7, 10, 13, 16, 19, 22)&lt;&gt;"", CHOOSECOLS(A913:V913, 1, 4, 7, 10, 13, 16, 19, 22), "", 0, -1)</f>
        <v/>
      </c>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AJ914" s="2"/>
      <c r="AN914" s="2"/>
      <c r="AO914" s="2"/>
      <c r="AP914" s="4" t="str">
        <f t="array" ref="AP914">XLOOKUP(TRUE, CHOOSECOLS(A914:V914, 1, 4, 7, 10, 13, 16, 19, 22)&lt;&gt;"", CHOOSECOLS(A914:V914, 1, 4, 7, 10, 13, 16, 19, 22), "", 0, -1)</f>
        <v/>
      </c>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AJ915" s="2"/>
      <c r="AN915" s="2"/>
      <c r="AO915" s="2"/>
      <c r="AP915" s="4" t="str">
        <f t="array" ref="AP915">XLOOKUP(TRUE, CHOOSECOLS(A915:V915, 1, 4, 7, 10, 13, 16, 19, 22)&lt;&gt;"", CHOOSECOLS(A915:V915, 1, 4, 7, 10, 13, 16, 19, 22), "", 0, -1)</f>
        <v/>
      </c>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AJ916" s="2"/>
      <c r="AN916" s="2"/>
      <c r="AO916" s="2"/>
      <c r="AP916" s="4" t="str">
        <f t="array" ref="AP916">XLOOKUP(TRUE, CHOOSECOLS(A916:V916, 1, 4, 7, 10, 13, 16, 19, 22)&lt;&gt;"", CHOOSECOLS(A916:V916, 1, 4, 7, 10, 13, 16, 19, 22), "", 0, -1)</f>
        <v/>
      </c>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AJ917" s="2"/>
      <c r="AN917" s="2"/>
      <c r="AO917" s="2"/>
      <c r="AP917" s="4" t="str">
        <f t="array" ref="AP917">XLOOKUP(TRUE, CHOOSECOLS(A917:V917, 1, 4, 7, 10, 13, 16, 19, 22)&lt;&gt;"", CHOOSECOLS(A917:V917, 1, 4, 7, 10, 13, 16, 19, 22), "", 0, -1)</f>
        <v/>
      </c>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AJ918" s="2"/>
      <c r="AN918" s="2"/>
      <c r="AO918" s="2"/>
      <c r="AP918" s="4" t="str">
        <f t="array" ref="AP918">XLOOKUP(TRUE, CHOOSECOLS(A918:V918, 1, 4, 7, 10, 13, 16, 19, 22)&lt;&gt;"", CHOOSECOLS(A918:V918, 1, 4, 7, 10, 13, 16, 19, 22), "", 0, -1)</f>
        <v/>
      </c>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AJ919" s="2"/>
      <c r="AN919" s="2"/>
      <c r="AO919" s="2"/>
      <c r="AP919" s="4" t="str">
        <f t="array" ref="AP919">XLOOKUP(TRUE, CHOOSECOLS(A919:V919, 1, 4, 7, 10, 13, 16, 19, 22)&lt;&gt;"", CHOOSECOLS(A919:V919, 1, 4, 7, 10, 13, 16, 19, 22), "", 0, -1)</f>
        <v/>
      </c>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AJ920" s="2"/>
      <c r="AN920" s="2"/>
      <c r="AO920" s="2"/>
      <c r="AP920" s="4" t="str">
        <f t="array" ref="AP920">XLOOKUP(TRUE, CHOOSECOLS(A920:V920, 1, 4, 7, 10, 13, 16, 19, 22)&lt;&gt;"", CHOOSECOLS(A920:V920, 1, 4, 7, 10, 13, 16, 19, 22), "", 0, -1)</f>
        <v/>
      </c>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AJ921" s="2"/>
      <c r="AN921" s="2"/>
      <c r="AO921" s="2"/>
      <c r="AP921" s="4" t="str">
        <f t="array" ref="AP921">XLOOKUP(TRUE, CHOOSECOLS(A921:V921, 1, 4, 7, 10, 13, 16, 19, 22)&lt;&gt;"", CHOOSECOLS(A921:V921, 1, 4, 7, 10, 13, 16, 19, 22), "", 0, -1)</f>
        <v/>
      </c>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AJ922" s="2"/>
      <c r="AN922" s="2"/>
      <c r="AO922" s="2"/>
      <c r="AP922" s="4" t="str">
        <f t="array" ref="AP922">XLOOKUP(TRUE, CHOOSECOLS(A922:V922, 1, 4, 7, 10, 13, 16, 19, 22)&lt;&gt;"", CHOOSECOLS(A922:V922, 1, 4, 7, 10, 13, 16, 19, 22), "", 0, -1)</f>
        <v/>
      </c>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AJ923" s="2"/>
      <c r="AN923" s="2"/>
      <c r="AO923" s="2"/>
      <c r="AP923" s="4" t="str">
        <f t="array" ref="AP923">XLOOKUP(TRUE, CHOOSECOLS(A923:V923, 1, 4, 7, 10, 13, 16, 19, 22)&lt;&gt;"", CHOOSECOLS(A923:V923, 1, 4, 7, 10, 13, 16, 19, 22), "", 0, -1)</f>
        <v/>
      </c>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AJ924" s="2"/>
      <c r="AN924" s="2"/>
      <c r="AO924" s="2"/>
      <c r="AP924" s="4" t="str">
        <f t="array" ref="AP924">XLOOKUP(TRUE, CHOOSECOLS(A924:V924, 1, 4, 7, 10, 13, 16, 19, 22)&lt;&gt;"", CHOOSECOLS(A924:V924, 1, 4, 7, 10, 13, 16, 19, 22), "", 0, -1)</f>
        <v/>
      </c>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AJ925" s="2"/>
      <c r="AN925" s="2"/>
      <c r="AO925" s="2"/>
      <c r="AP925" s="4" t="str">
        <f t="array" ref="AP925">XLOOKUP(TRUE, CHOOSECOLS(A925:V925, 1, 4, 7, 10, 13, 16, 19, 22)&lt;&gt;"", CHOOSECOLS(A925:V925, 1, 4, 7, 10, 13, 16, 19, 22), "", 0, -1)</f>
        <v/>
      </c>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AJ926" s="2"/>
      <c r="AN926" s="2"/>
      <c r="AO926" s="2"/>
      <c r="AP926" s="4" t="str">
        <f t="array" ref="AP926">XLOOKUP(TRUE, CHOOSECOLS(A926:V926, 1, 4, 7, 10, 13, 16, 19, 22)&lt;&gt;"", CHOOSECOLS(A926:V926, 1, 4, 7, 10, 13, 16, 19, 22), "", 0, -1)</f>
        <v/>
      </c>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AJ927" s="2"/>
      <c r="AN927" s="2"/>
      <c r="AO927" s="2"/>
      <c r="AP927" s="4" t="str">
        <f t="array" ref="AP927">XLOOKUP(TRUE, CHOOSECOLS(A927:V927, 1, 4, 7, 10, 13, 16, 19, 22)&lt;&gt;"", CHOOSECOLS(A927:V927, 1, 4, 7, 10, 13, 16, 19, 22), "", 0, -1)</f>
        <v/>
      </c>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AJ928" s="2"/>
      <c r="AN928" s="2"/>
      <c r="AO928" s="2"/>
      <c r="AP928" s="4" t="str">
        <f t="array" ref="AP928">XLOOKUP(TRUE, CHOOSECOLS(A928:V928, 1, 4, 7, 10, 13, 16, 19, 22)&lt;&gt;"", CHOOSECOLS(A928:V928, 1, 4, 7, 10, 13, 16, 19, 22), "", 0, -1)</f>
        <v/>
      </c>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AJ929" s="2"/>
      <c r="AN929" s="2"/>
      <c r="AO929" s="2"/>
      <c r="AP929" s="4" t="str">
        <f t="array" ref="AP929">XLOOKUP(TRUE, CHOOSECOLS(A929:V929, 1, 4, 7, 10, 13, 16, 19, 22)&lt;&gt;"", CHOOSECOLS(A929:V929, 1, 4, 7, 10, 13, 16, 19, 22), "", 0, -1)</f>
        <v/>
      </c>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AJ930" s="2"/>
      <c r="AN930" s="2"/>
      <c r="AO930" s="2"/>
      <c r="AP930" s="4" t="str">
        <f t="array" ref="AP930">XLOOKUP(TRUE, CHOOSECOLS(A930:V930, 1, 4, 7, 10, 13, 16, 19, 22)&lt;&gt;"", CHOOSECOLS(A930:V930, 1, 4, 7, 10, 13, 16, 19, 22), "", 0, -1)</f>
        <v/>
      </c>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AJ931" s="2"/>
      <c r="AN931" s="2"/>
      <c r="AO931" s="2"/>
      <c r="AP931" s="4" t="str">
        <f t="array" ref="AP931">XLOOKUP(TRUE, CHOOSECOLS(A931:V931, 1, 4, 7, 10, 13, 16, 19, 22)&lt;&gt;"", CHOOSECOLS(A931:V931, 1, 4, 7, 10, 13, 16, 19, 22), "", 0, -1)</f>
        <v/>
      </c>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AJ932" s="2"/>
      <c r="AN932" s="2"/>
      <c r="AO932" s="2"/>
      <c r="AP932" s="4" t="str">
        <f t="array" ref="AP932">XLOOKUP(TRUE, CHOOSECOLS(A932:V932, 1, 4, 7, 10, 13, 16, 19, 22)&lt;&gt;"", CHOOSECOLS(A932:V932, 1, 4, 7, 10, 13, 16, 19, 22), "", 0, -1)</f>
        <v/>
      </c>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AJ933" s="2"/>
      <c r="AN933" s="2"/>
      <c r="AO933" s="2"/>
      <c r="AP933" s="4" t="str">
        <f t="array" ref="AP933">XLOOKUP(TRUE, CHOOSECOLS(A933:V933, 1, 4, 7, 10, 13, 16, 19, 22)&lt;&gt;"", CHOOSECOLS(A933:V933, 1, 4, 7, 10, 13, 16, 19, 22), "", 0, -1)</f>
        <v/>
      </c>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AJ934" s="2"/>
      <c r="AN934" s="2"/>
      <c r="AO934" s="2"/>
      <c r="AP934" s="4" t="str">
        <f t="array" ref="AP934">XLOOKUP(TRUE, CHOOSECOLS(A934:V934, 1, 4, 7, 10, 13, 16, 19, 22)&lt;&gt;"", CHOOSECOLS(A934:V934, 1, 4, 7, 10, 13, 16, 19, 22), "", 0, -1)</f>
        <v/>
      </c>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AJ935" s="2"/>
      <c r="AN935" s="2"/>
      <c r="AO935" s="2"/>
      <c r="AP935" s="4" t="str">
        <f t="array" ref="AP935">XLOOKUP(TRUE, CHOOSECOLS(A935:V935, 1, 4, 7, 10, 13, 16, 19, 22)&lt;&gt;"", CHOOSECOLS(A935:V935, 1, 4, 7, 10, 13, 16, 19, 22), "", 0, -1)</f>
        <v/>
      </c>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AJ936" s="2"/>
      <c r="AN936" s="2"/>
      <c r="AO936" s="2"/>
      <c r="AP936" s="4" t="str">
        <f t="array" ref="AP936">XLOOKUP(TRUE, CHOOSECOLS(A936:V936, 1, 4, 7, 10, 13, 16, 19, 22)&lt;&gt;"", CHOOSECOLS(A936:V936, 1, 4, 7, 10, 13, 16, 19, 22), "", 0, -1)</f>
        <v/>
      </c>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AJ937" s="2"/>
      <c r="AN937" s="2"/>
      <c r="AO937" s="2"/>
      <c r="AP937" s="4" t="str">
        <f t="array" ref="AP937">XLOOKUP(TRUE, CHOOSECOLS(A937:V937, 1, 4, 7, 10, 13, 16, 19, 22)&lt;&gt;"", CHOOSECOLS(A937:V937, 1, 4, 7, 10, 13, 16, 19, 22), "", 0, -1)</f>
        <v/>
      </c>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row>
    <row r="938" ht="15.0" customHeight="1">
      <c r="AJ938" s="2"/>
      <c r="AX938" s="2"/>
      <c r="AY938" s="2"/>
    </row>
    <row r="939" ht="15.0" customHeight="1">
      <c r="AJ939" s="2"/>
      <c r="AX939" s="2"/>
      <c r="AY939" s="2"/>
    </row>
    <row r="940" ht="15.0" customHeight="1">
      <c r="AJ940" s="2"/>
      <c r="AX940" s="2"/>
      <c r="AY940" s="2"/>
    </row>
    <row r="941" ht="15.0" customHeight="1">
      <c r="AJ941" s="2"/>
      <c r="AX941" s="2"/>
      <c r="AY941" s="2"/>
    </row>
    <row r="942" ht="15.0" customHeight="1">
      <c r="AJ942" s="2"/>
      <c r="AX942" s="2"/>
      <c r="AY942" s="2"/>
    </row>
    <row r="943" ht="15.0" customHeight="1">
      <c r="AJ943" s="2"/>
      <c r="AX943" s="2"/>
      <c r="AY943" s="2"/>
    </row>
    <row r="944" ht="15.0" customHeight="1">
      <c r="AJ944" s="2"/>
      <c r="AX944" s="2"/>
      <c r="AY944" s="2"/>
    </row>
    <row r="945" ht="15.0" customHeight="1">
      <c r="AJ945" s="2"/>
      <c r="AX945" s="2"/>
      <c r="AY945" s="2"/>
    </row>
    <row r="946">
      <c r="AJ946" s="2"/>
    </row>
    <row r="947">
      <c r="AJ947" s="2"/>
    </row>
    <row r="948">
      <c r="AJ948" s="2"/>
    </row>
    <row r="949">
      <c r="AJ949" s="2"/>
    </row>
    <row r="950">
      <c r="AJ950" s="2"/>
    </row>
    <row r="951">
      <c r="AJ951" s="2"/>
    </row>
    <row r="952">
      <c r="AJ952" s="2"/>
    </row>
    <row r="953">
      <c r="AJ953" s="2"/>
    </row>
    <row r="954">
      <c r="AJ954" s="2"/>
    </row>
    <row r="955">
      <c r="AJ955" s="2"/>
    </row>
    <row r="956">
      <c r="AJ956" s="2"/>
    </row>
    <row r="957">
      <c r="AJ957" s="2"/>
    </row>
    <row r="958">
      <c r="AJ958" s="2"/>
    </row>
    <row r="959">
      <c r="AJ959" s="2"/>
    </row>
    <row r="960">
      <c r="AJ960" s="2"/>
    </row>
    <row r="961">
      <c r="AJ961" s="2"/>
    </row>
    <row r="962">
      <c r="AJ962" s="2"/>
    </row>
    <row r="963">
      <c r="AJ963" s="2"/>
    </row>
    <row r="964">
      <c r="AJ964" s="2"/>
    </row>
    <row r="965">
      <c r="AJ965" s="2"/>
    </row>
    <row r="966">
      <c r="AJ966" s="2"/>
    </row>
    <row r="967">
      <c r="AJ967" s="2"/>
    </row>
    <row r="968">
      <c r="AJ968" s="2"/>
    </row>
    <row r="969">
      <c r="AJ969" s="2"/>
    </row>
    <row r="970">
      <c r="AJ970" s="2"/>
    </row>
    <row r="971">
      <c r="AJ971" s="2"/>
    </row>
    <row r="972">
      <c r="AJ972" s="2"/>
    </row>
    <row r="973">
      <c r="AJ973" s="2"/>
    </row>
    <row r="974">
      <c r="AJ974" s="2"/>
    </row>
    <row r="975">
      <c r="AJ975" s="2"/>
    </row>
    <row r="976">
      <c r="AJ976" s="2"/>
    </row>
    <row r="977">
      <c r="AJ977" s="2"/>
    </row>
    <row r="978">
      <c r="AJ978" s="2"/>
    </row>
    <row r="979">
      <c r="AJ979" s="2"/>
    </row>
    <row r="980">
      <c r="AJ980" s="2"/>
    </row>
    <row r="981">
      <c r="AJ981" s="2"/>
    </row>
    <row r="982">
      <c r="AJ982" s="2"/>
    </row>
    <row r="983">
      <c r="AJ983" s="2"/>
    </row>
    <row r="984">
      <c r="AJ984" s="2"/>
    </row>
    <row r="985">
      <c r="AJ985" s="2"/>
    </row>
    <row r="986">
      <c r="AJ986" s="2"/>
    </row>
    <row r="987">
      <c r="AJ987" s="2"/>
    </row>
    <row r="988">
      <c r="AJ988" s="2"/>
    </row>
    <row r="989">
      <c r="AJ989" s="2"/>
    </row>
    <row r="990">
      <c r="AJ990" s="2"/>
    </row>
    <row r="991">
      <c r="AJ991" s="2"/>
    </row>
    <row r="992">
      <c r="AJ992" s="2"/>
    </row>
    <row r="993">
      <c r="AJ993" s="2"/>
    </row>
    <row r="994">
      <c r="AJ994" s="2"/>
    </row>
    <row r="995">
      <c r="AJ995" s="2"/>
    </row>
    <row r="996">
      <c r="AJ996" s="2"/>
    </row>
    <row r="997">
      <c r="AJ997" s="2"/>
    </row>
    <row r="998">
      <c r="AJ998" s="2"/>
    </row>
    <row r="999">
      <c r="AJ999" s="2"/>
    </row>
    <row r="1000">
      <c r="AJ1000" s="2"/>
    </row>
    <row r="1001">
      <c r="AJ1001" s="2"/>
    </row>
    <row r="1002">
      <c r="AJ1002" s="2"/>
    </row>
    <row r="1003">
      <c r="AJ1003" s="2"/>
    </row>
    <row r="1004">
      <c r="AJ1004" s="2"/>
    </row>
    <row r="1005">
      <c r="AJ1005" s="2"/>
    </row>
    <row r="1006">
      <c r="AJ1006" s="2"/>
    </row>
    <row r="1007">
      <c r="AJ1007" s="2"/>
    </row>
    <row r="1008">
      <c r="AJ1008" s="2"/>
    </row>
    <row r="1009">
      <c r="AJ1009" s="2"/>
    </row>
    <row r="1010">
      <c r="AJ1010" s="2"/>
    </row>
    <row r="1011">
      <c r="AJ1011" s="2"/>
    </row>
    <row r="1012">
      <c r="AJ1012" s="2"/>
    </row>
    <row r="1013">
      <c r="AJ1013" s="2"/>
    </row>
    <row r="1014">
      <c r="AJ1014" s="2"/>
    </row>
    <row r="1015">
      <c r="AJ1015" s="2"/>
    </row>
    <row r="1016">
      <c r="AJ1016" s="2"/>
    </row>
    <row r="1017">
      <c r="AJ1017" s="2"/>
    </row>
  </sheetData>
  <autoFilter ref="$A$12:$CC$214"/>
  <mergeCells count="6">
    <mergeCell ref="A1:B1"/>
    <mergeCell ref="A11:Y11"/>
    <mergeCell ref="Z11:AM11"/>
    <mergeCell ref="AT11:BE11"/>
    <mergeCell ref="BF11:BQ11"/>
    <mergeCell ref="BR11:CC11"/>
  </mergeCells>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2025-08-31T14:55:40Z</dcterms:created>
</cp:coreProperties>
</file>